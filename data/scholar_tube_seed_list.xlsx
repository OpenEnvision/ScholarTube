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452f08f3b743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63cdb0404ca4746"/>
    <x:sheet xmlns:r="http://schemas.openxmlformats.org/officeDocument/2006/relationships" name="Resources" sheetId="2" r:id="R9574f36bd140405c"/>
    <x:sheet xmlns:r="http://schemas.openxmlformats.org/officeDocument/2006/relationships" name="Priority Areas" sheetId="3" r:id="R27414b4737744627"/>
    <x:sheet xmlns:r="http://schemas.openxmlformats.org/officeDocument/2006/relationships" name="Domain Index" sheetId="4" r:id="Rc66aa74addac49ad"/>
    <x:sheet xmlns:r="http://schemas.openxmlformats.org/officeDocument/2006/relationships" name="Field Guide" sheetId="5" r:id="R7077e461c8d94a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yyyy-mm-dd"/>
    <x:numFmt numFmtId="203" formatCode="0.0%"/>
  </x:numFmts>
  <x:fonts count="16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3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3" fontId="1" fillId="0" borderId="0" xfId="0" applyNumberFormat="1" applyFont="1" applyFill="1" applyBorder="1" applyAlignment="1">
      <x:alignment horizontal="center"/>
    </x:xf>
    <x:xf numFmtId="203" fontId="1" fillId="0" borderId="6" xfId="0" applyNumberFormat="1" applyFont="1" applyFill="1" applyBorder="1" applyAlignment="1">
      <x:alignment horizontal="center"/>
    </x:xf>
    <x:xf numFmtId="203" fontId="1" fillId="0" borderId="9" xfId="0" applyNumberFormat="1" applyFont="1" applyFill="1" applyBorder="1" applyAlignment="1">
      <x:alignment horizontal="center"/>
    </x:xf>
    <x:xf numFmtId="203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047857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4fa65b06414392" /><Relationship Type="http://schemas.openxmlformats.org/officeDocument/2006/relationships/theme" Target="/xl/theme/theme1.xml" Id="R4302899b1f0a4a18" /><Relationship Type="http://schemas.openxmlformats.org/officeDocument/2006/relationships/sharedStrings" Target="/xl/sharedStrings.xml" Id="R368bc409daaf4c6b" /><Relationship Type="http://schemas.openxmlformats.org/officeDocument/2006/relationships/worksheet" Target="/xl/worksheets/sheet1.xml" Id="Re63cdb0404ca4746" /><Relationship Type="http://schemas.openxmlformats.org/officeDocument/2006/relationships/worksheet" Target="/xl/worksheets/sheet2.xml" Id="R9574f36bd140405c" /><Relationship Type="http://schemas.openxmlformats.org/officeDocument/2006/relationships/worksheet" Target="/xl/worksheets/sheet3.xml" Id="R27414b4737744627" /><Relationship Type="http://schemas.openxmlformats.org/officeDocument/2006/relationships/worksheet" Target="/xl/worksheets/sheet4.xml" Id="Rc66aa74addac49ad" /><Relationship Type="http://schemas.openxmlformats.org/officeDocument/2006/relationships/worksheet" Target="/xl/worksheets/sheet5.xml" Id="R7077e461c8d94a06" /></Relationships>
</file>

<file path=xl/tables/table1.xml><?xml version="1.0" encoding="utf-8"?>
<x:table xmlns:x="http://schemas.openxmlformats.org/spreadsheetml/2006/main" id="1" name="ScholarTubeResources" displayName="ScholarTubeResources" ref="A1:T530" headerRowCount="1" totalsRowCount="0" totalsRowShown="0">
  <x:autoFilter ref="A1:T530"/>
  <x:tableColumns count="20">
    <x:tableColumn id="1" name="ID"/>
    <x:tableColumn id="2" name="Section"/>
    <x:tableColumn id="3" name="Priority Area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7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e552cbb71746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fb057541cc4af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11563c7685d42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88" t="str">
        <x:v>ScholarTube | Curated AI Video Knowledge Resources</x:v>
      </x:c>
      <x:c r="B1" s="88" t="str">
        <x:v>ScholarTube | Curated AI Video Knowledge Resources</x:v>
      </x:c>
      <x:c r="C1" s="88" t="str">
        <x:v>ScholarTube | Curated AI Video Knowledge Resources</x:v>
      </x:c>
      <x:c r="D1" s="88" t="str">
        <x:v>ScholarTube | Curated AI Video Knowledge Resources</x:v>
      </x:c>
      <x:c r="E1" s="88" t="str">
        <x:v>ScholarTube | Curated AI Video Knowledge Resources</x:v>
      </x:c>
      <x:c r="F1" s="88" t="str">
        <x:v>ScholarTube | Curated AI Video Knowledge Resources</x:v>
      </x:c>
      <x:c r="G1" s="88" t="str">
        <x:v>ScholarTube | Curated AI Video Knowledge Resources</x:v>
      </x:c>
      <x:c r="H1" s="88" t="str">
        <x:v>ScholarTube | Curated AI Video Knowledge Resources</x:v>
      </x:c>
      <x:c r="I1" s="88" t="str">
        <x:v>ScholarTube | Curated AI Video Knowledge Resources</x:v>
      </x:c>
      <x:c r="J1" s="88" t="str">
        <x:v>ScholarTube | Curated AI Video Knowledge Resources</x:v>
      </x:c>
      <x:c r="K1" s="88" t="str">
        <x:v>ScholarTube | Curated AI Video Knowledge Resources</x:v>
      </x:c>
      <x:c r="L1" s="88" t="str">
        <x:v>ScholarTube | Curated AI Video Knowledge Resources</x:v>
      </x:c>
    </x:row>
    <x:row r="2" ht="28" customHeight="1">
      <x:c r="A2" s="30" t="str">
        <x:v>Curated resources: 529 direct video links | Four priority areas: 354 | YouTube + Bilibili, with Xiaohongshu fields reserved | Metadata checked: 2026-08-12</x:v>
      </x:c>
      <x:c r="B2" s="30" t="str">
        <x:v>Curated resources: 529 direct video links | Four priority areas: 354 | YouTube + Bilibili, with Xiaohongshu fields reserved | Metadata checked: 2026-08-12</x:v>
      </x:c>
      <x:c r="C2" s="30" t="str">
        <x:v>Curated resources: 529 direct video links | Four priority areas: 354 | YouTube + Bilibili, with Xiaohongshu fields reserved | Metadata checked: 2026-08-12</x:v>
      </x:c>
      <x:c r="D2" s="30" t="str">
        <x:v>Curated resources: 529 direct video links | Four priority areas: 354 | YouTube + Bilibili, with Xiaohongshu fields reserved | Metadata checked: 2026-08-12</x:v>
      </x:c>
      <x:c r="E2" s="30" t="str">
        <x:v>Curated resources: 529 direct video links | Four priority areas: 354 | YouTube + Bilibili, with Xiaohongshu fields reserved | Metadata checked: 2026-08-12</x:v>
      </x:c>
      <x:c r="F2" s="30" t="str">
        <x:v>Curated resources: 529 direct video links | Four priority areas: 354 | YouTube + Bilibili, with Xiaohongshu fields reserved | Metadata checked: 2026-08-12</x:v>
      </x:c>
      <x:c r="G2" s="30" t="str">
        <x:v>Curated resources: 529 direct video links | Four priority areas: 354 | YouTube + Bilibili, with Xiaohongshu fields reserved | Metadata checked: 2026-08-12</x:v>
      </x:c>
      <x:c r="H2" s="30" t="str">
        <x:v>Curated resources: 529 direct video links | Four priority areas: 354 | YouTube + Bilibili, with Xiaohongshu fields reserved | Metadata checked: 2026-08-12</x:v>
      </x:c>
      <x:c r="I2" s="30" t="str">
        <x:v>Curated resources: 529 direct video links | Four priority areas: 354 | YouTube + Bilibili, with Xiaohongshu fields reserved | Metadata checked: 2026-08-12</x:v>
      </x:c>
      <x:c r="J2" s="30" t="str">
        <x:v>Curated resources: 529 direct video links | Four priority areas: 354 | YouTube + Bilibili, with Xiaohongshu fields reserved | Metadata checked: 2026-08-12</x:v>
      </x:c>
      <x:c r="K2" s="30" t="str">
        <x:v>Curated resources: 529 direct video links | Four priority areas: 354 | YouTube + Bilibili, with Xiaohongshu fields reserved | Metadata checked: 2026-08-12</x:v>
      </x:c>
      <x:c r="L2" s="30" t="str">
        <x:v>Curated resources: 529 direct video links | Four priority areas: 354 | YouTube + Bilibili, with Xiaohongshu fields reserved | Metadata checked: 2026-08-12</x:v>
      </x:c>
    </x:row>
    <x:row r="4" ht="25" customHeight="1">
      <x:c r="A4" s="90" t="str">
        <x:v>Total Resources</x:v>
      </x:c>
      <x:c r="B4" s="90" t="str">
        <x:v>Total Resources</x:v>
      </x:c>
      <x:c r="D4" s="96" t="str">
        <x:v>Interview</x:v>
      </x:c>
      <x:c r="E4" s="96" t="str">
        <x:v>Interview</x:v>
      </x:c>
      <x:c r="G4" s="90" t="str">
        <x:v>Course</x:v>
      </x:c>
      <x:c r="H4" s="90" t="str">
        <x:v>Course</x:v>
      </x:c>
      <x:c r="J4" s="97" t="str">
        <x:v>Talk</x:v>
      </x:c>
      <x:c r="K4" s="97" t="str">
        <x:v>Talk</x:v>
      </x:c>
    </x:row>
    <x:row r="5" ht="38" customHeight="1">
      <x:c r="A5" s="93" t="n">
        <x:f>COUNTA('Resources'!$A$2:$A$530)</x:f>
        <x:v>529</x:v>
      </x:c>
      <x:c r="B5" s="94"/>
      <x:c r="D5" s="93" t="n">
        <x:f>COUNTIF('Resources'!$B$2:$B$530,"Interview")</x:f>
        <x:v>136</x:v>
      </x:c>
      <x:c r="E5" s="94"/>
      <x:c r="G5" s="93" t="n">
        <x:f>COUNTIF('Resources'!$B$2:$B$530,"Course")</x:f>
        <x:v>198</x:v>
      </x:c>
      <x:c r="H5" s="94"/>
      <x:c r="J5" s="93" t="n">
        <x:f>COUNTIF('Resources'!$B$2:$B$530,"Talk")</x:f>
        <x:v>195</x:v>
      </x:c>
      <x:c r="K5" s="94"/>
    </x:row>
    <x:row r="7" ht="25" customHeight="1">
      <x:c r="A7" s="99" t="str">
        <x:v>Tier A Sources</x:v>
      </x:c>
      <x:c r="B7" s="99" t="str">
        <x:v>Tier A Sources</x:v>
      </x:c>
      <x:c r="D7" s="99" t="str">
        <x:v>Priority Resources</x:v>
      </x:c>
      <x:c r="E7" s="99" t="str">
        <x:v>Priority Resources</x:v>
      </x:c>
      <x:c r="G7" s="96" t="str">
        <x:v>Chinese Resources</x:v>
      </x:c>
      <x:c r="H7" s="96" t="str">
        <x:v>Chinese Resources</x:v>
      </x:c>
      <x:c r="J7" s="99" t="str">
        <x:v>Verified Links</x:v>
      </x:c>
      <x:c r="K7" s="99" t="str">
        <x:v>Verified Links</x:v>
      </x:c>
    </x:row>
    <x:row r="8" ht="38" customHeight="1">
      <x:c r="A8" s="93" t="n">
        <x:f>COUNTIF('Resources'!$O$2:$O$530,"A | Official / Original Creator / Organizer")</x:f>
        <x:v>323</x:v>
      </x:c>
      <x:c r="B8" s="94"/>
      <x:c r="D8" s="93" t="n">
        <x:f>COUNTIF('Resources'!$C$2:$C$530,"&lt;&gt;Other")</x:f>
        <x:v>354</x:v>
      </x:c>
      <x:c r="E8" s="94"/>
      <x:c r="G8" s="93" t="n">
        <x:f>COUNTIF('Resources'!$F$2:$F$530,"Chinese")</x:f>
        <x:v>107</x:v>
      </x:c>
      <x:c r="H8" s="94"/>
      <x:c r="J8" s="93" t="n">
        <x:f>COUNTIF('Resources'!$Q$2:$Q$530,"Verified")</x:f>
        <x:v>529</x:v>
      </x:c>
      <x:c r="K8" s="94"/>
    </x:row>
    <x:row r="10" ht="30" customHeight="1">
      <x:c r="A10" s="101" t="str">
        <x:v>Filtering recommendation: feature World Model, Agent, Vision, and Robotics by default. Keep Other as an extended pool, prioritizing Tier A and Core resources.</x:v>
      </x:c>
      <x:c r="B10" s="101" t="str">
        <x:v>Filtering recommendation: feature World Model, Agent, Vision, and Robotics by default. Keep Other as an extended pool, prioritizing Tier A and Core resources.</x:v>
      </x:c>
      <x:c r="C10" s="101" t="str">
        <x:v>Filtering recommendation: feature World Model, Agent, Vision, and Robotics by default. Keep Other as an extended pool, prioritizing Tier A and Core resources.</x:v>
      </x:c>
      <x:c r="D10" s="101" t="str">
        <x:v>Filtering recommendation: feature World Model, Agent, Vision, and Robotics by default. Keep Other as an extended pool, prioritizing Tier A and Core resources.</x:v>
      </x:c>
      <x:c r="E10" s="101" t="str">
        <x:v>Filtering recommendation: feature World Model, Agent, Vision, and Robotics by default. Keep Other as an extended pool, prioritizing Tier A and Core resources.</x:v>
      </x:c>
      <x:c r="F10" s="101" t="str">
        <x:v>Filtering recommendation: feature World Model, Agent, Vision, and Robotics by default. Keep Other as an extended pool, prioritizing Tier A and Core resources.</x:v>
      </x:c>
      <x:c r="G10" s="101" t="str">
        <x:v>Filtering recommendation: feature World Model, Agent, Vision, and Robotics by default. Keep Other as an extended pool, prioritizing Tier A and Core resources.</x:v>
      </x:c>
      <x:c r="H10" s="101" t="str">
        <x:v>Filtering recommendation: feature World Model, Agent, Vision, and Robotics by default. Keep Other as an extended pool, prioritizing Tier A and Core resources.</x:v>
      </x:c>
      <x:c r="I10" s="101" t="str">
        <x:v>Filtering recommendation: feature World Model, Agent, Vision, and Robotics by default. Keep Other as an extended pool, prioritizing Tier A and Core resources.</x:v>
      </x:c>
      <x:c r="J10" s="101" t="str">
        <x:v>Filtering recommendation: feature World Model, Agent, Vision, and Robotics by default. Keep Other as an extended pool, prioritizing Tier A and Core resources.</x:v>
      </x:c>
      <x:c r="K10" s="101" t="str">
        <x:v>Filtering recommendation: feature World Model, Agent, Vision, and Robotics by default. Keep Other as an extended pool, prioritizing Tier A and Core resources.</x:v>
      </x:c>
      <x:c r="L10" s="101" t="str">
        <x:v>Filtering recommendation: feature World Model, Agent, Vision, and Robotics by default. Keep Other as an extended pool, prioritizing Tier A and Core resources.</x:v>
      </x:c>
    </x:row>
    <x:row r="12" ht="28" customHeight="1">
      <x:c r="A12" s="33" t="str">
        <x:v>Top 12 Domains</x:v>
      </x:c>
      <x:c r="B12" s="33" t="str">
        <x:v>Count</x:v>
      </x:c>
      <x:c r="C12" s="33" t="str">
        <x:v>Share</x:v>
      </x:c>
      <x:c r="E12" s="111" t="str">
        <x:v>Top 12 Channels</x:v>
      </x:c>
      <x:c r="F12" s="111" t="str">
        <x:v>Count</x:v>
      </x:c>
      <x:c r="H12" s="115" t="str">
        <x:v>Source Tier</x:v>
      </x:c>
      <x:c r="I12" s="115" t="str">
        <x:v>Count</x:v>
      </x:c>
      <x:c r="J12" s="118" t="str">
        <x:v>Platform</x:v>
      </x:c>
      <x:c r="K12" s="118" t="str">
        <x:v>Count</x:v>
      </x:c>
    </x:row>
    <x:row r="13">
      <x:c r="A13" s="34" t="str">
        <x:v>Robotics / Embodied AI</x:v>
      </x:c>
      <x:c r="B13" s="81" t="n">
        <x:f>COUNTIF('Resources'!$D$2:$D$530,A13)</x:f>
        <x:v>67</x:v>
      </x:c>
      <x:c r="C13" s="106" t="n">
        <x:f>B13/$A$5</x:f>
        <x:v>0.1266540642722117</x:v>
      </x:c>
      <x:c r="E13" s="34" t="str">
        <x:v>Stanford Online</x:v>
      </x:c>
      <x:c r="F13" s="76" t="n">
        <x:f>COUNTIF('Resources'!$I$2:$I$530,E13)</x:f>
        <x:v>44</x:v>
      </x:c>
      <x:c r="H13" s="34" t="str">
        <x:v>A | Official / Original Creator / Organizer</x:v>
      </x:c>
      <x:c r="I13" s="76" t="n">
        <x:f>COUNTIF('Resources'!$O$2:$O$530,"A | Official / Original Creator / Organizer")</x:f>
        <x:v>323</x:v>
      </x:c>
      <x:c r="J13" s="34" t="str">
        <x:v>YouTube</x:v>
      </x:c>
      <x:c r="K13" s="76" t="n">
        <x:f>COUNTIF('Resources'!$M$2:$M$530,"YouTube")</x:f>
        <x:v>425</x:v>
      </x:c>
    </x:row>
    <x:row r="14">
      <x:c r="A14" s="37" t="str">
        <x:v>Robotics</x:v>
      </x:c>
      <x:c r="B14" s="83" t="n">
        <x:f>COUNTIF('Resources'!$D$2:$D$530,A14)</x:f>
        <x:v>42</x:v>
      </x:c>
      <x:c r="C14" s="107" t="n">
        <x:f>B14/$A$5</x:f>
        <x:v>0.07939508506616257</x:v>
      </x:c>
      <x:c r="E14" s="37" t="str">
        <x:v>Lex Fridman</x:v>
      </x:c>
      <x:c r="F14" s="78" t="n">
        <x:f>COUNTIF('Resources'!$I$2:$I$530,E14)</x:f>
        <x:v>13</x:v>
      </x:c>
      <x:c r="H14" s="37" t="str">
        <x:v>B | University / Conference / Institution</x:v>
      </x:c>
      <x:c r="I14" s="78" t="n">
        <x:f>COUNTIF('Resources'!$O$2:$O$530,"B | University / Conference / Institution")</x:f>
        <x:v>125</x:v>
      </x:c>
      <x:c r="J14" s="37" t="str">
        <x:v>Bilibili</x:v>
      </x:c>
      <x:c r="K14" s="78" t="n">
        <x:f>COUNTIF('Resources'!$M$2:$M$530,"Bilibili")</x:f>
        <x:v>104</x:v>
      </x:c>
    </x:row>
    <x:row r="15">
      <x:c r="A15" s="37" t="str">
        <x:v>Agents / Tool Use / Reasoning</x:v>
      </x:c>
      <x:c r="B15" s="83" t="n">
        <x:f>COUNTIF('Resources'!$D$2:$D$530,A15)</x:f>
        <x:v>41</x:v>
      </x:c>
      <x:c r="C15" s="107" t="n">
        <x:f>B15/$A$5</x:f>
        <x:v>0.07750472589792061</x:v>
      </x:c>
      <x:c r="E15" s="37" t="str">
        <x:v>CMU Robotics Institute</x:v>
      </x:c>
      <x:c r="F15" s="78" t="n">
        <x:f>COUNTIF('Resources'!$I$2:$I$530,E15)</x:f>
        <x:v>12</x:v>
      </x:c>
      <x:c r="H15" s="40" t="str">
        <x:v>C | Community Selection</x:v>
      </x:c>
      <x:c r="I15" s="80" t="n">
        <x:f>COUNTIF('Resources'!$O$2:$O$530,"C | Community Selection")</x:f>
        <x:v>81</x:v>
      </x:c>
      <x:c r="J15" s="40" t="str">
        <x:v>Xiaohongshu</x:v>
      </x:c>
      <x:c r="K15" s="80" t="n">
        <x:f>COUNTIF('Resources'!$M$2:$M$530,"Xiaohongshu")</x:f>
        <x:v>0</x:v>
      </x:c>
    </x:row>
    <x:row r="16">
      <x:c r="A16" s="37" t="str">
        <x:v>Agents</x:v>
      </x:c>
      <x:c r="B16" s="83" t="n">
        <x:f>COUNTIF('Resources'!$D$2:$D$530,A16)</x:f>
        <x:v>39</x:v>
      </x:c>
      <x:c r="C16" s="107" t="n">
        <x:f>B16/$A$5</x:f>
        <x:v>0.07372400756143667</x:v>
      </x:c>
      <x:c r="E16" s="37" t="str">
        <x:v>Dwarkesh Patel</x:v>
      </x:c>
      <x:c r="F16" s="78" t="n">
        <x:f>COUNTIF('Resources'!$I$2:$I$530,E16)</x:f>
        <x:v>9</x:v>
      </x:c>
    </x:row>
    <x:row r="17">
      <x:c r="A17" s="37" t="str">
        <x:v>Vision</x:v>
      </x:c>
      <x:c r="B17" s="83" t="n">
        <x:f>COUNTIF('Resources'!$D$2:$D$530,A17)</x:f>
        <x:v>39</x:v>
      </x:c>
      <x:c r="C17" s="107" t="n">
        <x:f>B17/$A$5</x:f>
        <x:v>0.07372400756143667</x:v>
      </x:c>
      <x:c r="E17" s="37" t="str">
        <x:v>Machine Learning Street Talk</x:v>
      </x:c>
      <x:c r="F17" s="78" t="n">
        <x:f>COUNTIF('Resources'!$I$2:$I$530,E17)</x:f>
        <x:v>8</x:v>
      </x:c>
    </x:row>
    <x:row r="18" ht="48" customHeight="1">
      <x:c r="A18" s="37" t="str">
        <x:v>World Models</x:v>
      </x:c>
      <x:c r="B18" s="83" t="n">
        <x:f>COUNTIF('Resources'!$D$2:$D$530,A18)</x:f>
        <x:v>34</x:v>
      </x:c>
      <x:c r="C18" s="107" t="n">
        <x:f>B18/$A$5</x:f>
        <x:v>0.06427221172022685</x:v>
      </x:c>
      <x:c r="E18" s="37" t="str">
        <x:v>Microsoft Research</x:v>
      </x:c>
      <x:c r="F18" s="78" t="n">
        <x:f>COUNTIF('Resources'!$I$2:$I$530,E18)</x:f>
        <x:v>8</x:v>
      </x:c>
      <x:c r="H18" s="71" t="str">
        <x:v>The four priority areas contain 354 resources, meeting the initial 200+ target. Future fields can include thumbnails, subtitle languages, series relationships, and editorial notes.</x:v>
      </x:c>
      <x:c r="I18" s="71" t="str">
        <x:v>The four priority areas contain 354 resources, meeting the initial 200+ target. Future fields can include thumbnails, subtitle languages, series relationships, and editorial notes.</x:v>
      </x:c>
      <x:c r="J18" s="71" t="str">
        <x:v>The four priority areas contain 354 resources, meeting the initial 200+ target. Future fields can include thumbnails, subtitle languages, series relationships, and editorial notes.</x:v>
      </x:c>
      <x:c r="K18" s="71" t="str">
        <x:v>The four priority areas contain 354 resources, meeting the initial 200+ target. Future fields can include thumbnails, subtitle languages, series relationships, and editorial notes.</x:v>
      </x:c>
      <x:c r="L18" s="71" t="str">
        <x:v>The four priority areas contain 354 resources, meeting the initial 200+ target. Future fields can include thumbnails, subtitle languages, series relationships, and editorial notes.</x:v>
      </x:c>
    </x:row>
    <x:row r="19">
      <x:c r="A19" s="37" t="str">
        <x:v>Computer Vision / 3D Vision</x:v>
      </x:c>
      <x:c r="B19" s="83" t="n">
        <x:f>COUNTIF('Resources'!$D$2:$D$530,A19)</x:f>
        <x:v>33</x:v>
      </x:c>
      <x:c r="C19" s="107" t="n">
        <x:f>B19/$A$5</x:f>
        <x:v>0.062381852551984876</x:v>
      </x:c>
      <x:c r="E19" s="37" t="str">
        <x:v>Stanford HAI</x:v>
      </x:c>
      <x:c r="F19" s="78" t="n">
        <x:f>COUNTIF('Resources'!$I$2:$I$530,E19)</x:f>
        <x:v>8</x:v>
      </x:c>
    </x:row>
    <x:row r="20">
      <x:c r="A20" s="37" t="str">
        <x:v>World Models / Predictive Intelligence</x:v>
      </x:c>
      <x:c r="B20" s="83" t="n">
        <x:f>COUNTIF('Resources'!$D$2:$D$530,A20)</x:f>
        <x:v>20</x:v>
      </x:c>
      <x:c r="C20" s="107" t="n">
        <x:f>B20/$A$5</x:f>
        <x:v>0.03780718336483932</x:v>
      </x:c>
      <x:c r="E20" s="37" t="str">
        <x:v>No Priors: AI, Machine Learning, Tech, &amp; Startups</x:v>
      </x:c>
      <x:c r="F20" s="78" t="n">
        <x:f>COUNTIF('Resources'!$I$2:$I$530,E20)</x:f>
        <x:v>7</x:v>
      </x:c>
    </x:row>
    <x:row r="21">
      <x:c r="A21" s="37" t="str">
        <x:v>Deep Learning Foundations</x:v>
      </x:c>
      <x:c r="B21" s="83" t="n">
        <x:f>COUNTIF('Resources'!$D$2:$D$530,A21)</x:f>
        <x:v>13</x:v>
      </x:c>
      <x:c r="C21" s="107" t="n">
        <x:f>B21/$A$5</x:f>
        <x:v>0.024574669187145556</x:v>
      </x:c>
      <x:c r="E21" s="37" t="str">
        <x:v>NVIDIA</x:v>
      </x:c>
      <x:c r="F21" s="78" t="n">
        <x:f>COUNTIF('Resources'!$I$2:$I$530,E21)</x:f>
        <x:v>7</x:v>
      </x:c>
    </x:row>
    <x:row r="22">
      <x:c r="A22" s="37" t="str">
        <x:v>AI Research Frontiers</x:v>
      </x:c>
      <x:c r="B22" s="83" t="n">
        <x:f>COUNTIF('Resources'!$D$2:$D$530,A22)</x:f>
        <x:v>11</x:v>
      </x:c>
      <x:c r="C22" s="107" t="n">
        <x:f>B22/$A$5</x:f>
        <x:v>0.020793950850661626</x:v>
      </x:c>
      <x:c r="E22" s="37" t="str">
        <x:v>The Robot Brains Podcast</x:v>
      </x:c>
      <x:c r="F22" s="78" t="n">
        <x:f>COUNTIF('Resources'!$I$2:$I$530,E22)</x:f>
        <x:v>7</x:v>
      </x:c>
    </x:row>
    <x:row r="23">
      <x:c r="A23" s="37" t="str">
        <x:v>AI Systems / Accelerated Computing</x:v>
      </x:c>
      <x:c r="B23" s="83" t="n">
        <x:f>COUNTIF('Resources'!$D$2:$D$530,A23)</x:f>
        <x:v>11</x:v>
      </x:c>
      <x:c r="C23" s="107" t="n">
        <x:f>B23/$A$5</x:f>
        <x:v>0.020793950850661626</x:v>
      </x:c>
      <x:c r="E23" s="37" t="str">
        <x:v>The TWIML AI Podcast with Sam Charrington</x:v>
      </x:c>
      <x:c r="F23" s="78" t="n">
        <x:f>COUNTIF('Resources'!$I$2:$I$530,E23)</x:f>
        <x:v>7</x:v>
      </x:c>
    </x:row>
    <x:row r="24">
      <x:c r="A24" s="40" t="str">
        <x:v>Computer Vision</x:v>
      </x:c>
      <x:c r="B24" s="85" t="n">
        <x:f>COUNTIF('Resources'!$D$2:$D$530,A24)</x:f>
        <x:v>10</x:v>
      </x:c>
      <x:c r="C24" s="108" t="n">
        <x:f>B24/$A$5</x:f>
        <x:v>0.01890359168241966</x:v>
      </x:c>
      <x:c r="E24" s="40" t="str">
        <x:v>Berkeley RDI</x:v>
      </x:c>
      <x:c r="F24" s="80" t="n">
        <x:f>COUNTIF('Resources'!$I$2:$I$530,E24)</x:f>
        <x:v>6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18.1299991607666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Priority Area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5" t="str">
        <x:v>Video ID</x:v>
      </x:c>
    </x:row>
    <x:row r="2" ht="42" customHeight="1">
      <x:c r="A2" s="21" t="str">
        <x:v>ST-001</x:v>
      </x:c>
      <x:c r="B2" s="21" t="str">
        <x:v>Interview</x:v>
      </x:c>
      <x:c r="C2" s="21" t="str">
        <x:v>Robotics</x:v>
      </x:c>
      <x:c r="D2" s="17" t="str">
        <x:v>General AI / People</x:v>
      </x:c>
      <x:c r="E2" s="17" t="str">
        <x:v>Robotics / Embodied AI</x:v>
      </x:c>
      <x:c r="F2" s="22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2" t="str">
        <x:v>Podcast Interview</x:v>
      </x:c>
      <x:c r="K2" s="23" t="n">
        <x:v>209</x:v>
      </x:c>
      <x:c r="L2" s="16" t="str">
        <x:v>https://www.youtube.com/watch?v=cdiD-9MMpb0</x:v>
      </x:c>
      <x:c r="M2" s="21" t="str">
        <x:v>YouTube</x:v>
      </x:c>
      <x:c r="N2" s="24" t="n">
        <x:v>3936987</x:v>
      </x:c>
      <x:c r="O2" s="22" t="str">
        <x:v>A | Official / Original Creator / Organizer</x:v>
      </x:c>
      <x:c r="P2" s="22" t="str">
        <x:v>Core</x:v>
      </x:c>
      <x:c r="Q2" s="22" t="str">
        <x:v>Verified</x:v>
      </x:c>
      <x:c r="R2" s="25" t="n">
        <x:v>46244</x:v>
      </x:c>
      <x:c r="S2" s="17" t="str">
        <x:v>Matched to the target official channel; public metadata accessible.</x:v>
      </x:c>
      <x:c r="T2" s="16" t="str">
        <x:v>cdiD-9MMpb0</x:v>
      </x:c>
    </x:row>
    <x:row r="3" ht="42" customHeight="1">
      <x:c r="A3" s="21" t="str">
        <x:v>ST-002</x:v>
      </x:c>
      <x:c r="B3" s="21" t="str">
        <x:v>Interview</x:v>
      </x:c>
      <x:c r="C3" s="21" t="str">
        <x:v>Other</x:v>
      </x:c>
      <x:c r="D3" s="17" t="str">
        <x:v>General AI / People</x:v>
      </x:c>
      <x:c r="E3" s="17" t="str">
        <x:v>General AI</x:v>
      </x:c>
      <x:c r="F3" s="22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2" t="str">
        <x:v>Podcast Interview</x:v>
      </x:c>
      <x:c r="K3" s="23" t="n">
        <x:v>136</x:v>
      </x:c>
      <x:c r="L3" s="16" t="str">
        <x:v>https://www.youtube.com/watch?v=NNr6gPelJ3E</x:v>
      </x:c>
      <x:c r="M3" s="21" t="str">
        <x:v>YouTube</x:v>
      </x:c>
      <x:c r="N3" s="24" t="n">
        <x:v>967734</x:v>
      </x:c>
      <x:c r="O3" s="22" t="str">
        <x:v>A | Official / Original Creator / Organizer</x:v>
      </x:c>
      <x:c r="P3" s="22" t="str">
        <x:v>Core</x:v>
      </x:c>
      <x:c r="Q3" s="22" t="str">
        <x:v>Verified</x:v>
      </x:c>
      <x:c r="R3" s="25" t="n">
        <x:v>46244</x:v>
      </x:c>
      <x:c r="S3" s="17" t="str">
        <x:v>Matched to the target official channel; public metadata accessible.</x:v>
      </x:c>
      <x:c r="T3" s="16" t="str">
        <x:v>NNr6gPelJ3E</x:v>
      </x:c>
    </x:row>
    <x:row r="4" ht="42" customHeight="1">
      <x:c r="A4" s="21" t="str">
        <x:v>ST-003</x:v>
      </x:c>
      <x:c r="B4" s="21" t="str">
        <x:v>Interview</x:v>
      </x:c>
      <x:c r="C4" s="21" t="str">
        <x:v>Other</x:v>
      </x:c>
      <x:c r="D4" s="17" t="str">
        <x:v>General AI / People</x:v>
      </x:c>
      <x:c r="E4" s="17" t="str">
        <x:v>General AI</x:v>
      </x:c>
      <x:c r="F4" s="22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2" t="str">
        <x:v>Podcast Interview</x:v>
      </x:c>
      <x:c r="K4" s="23" t="n">
        <x:v>146</x:v>
      </x:c>
      <x:c r="L4" s="16" t="str">
        <x:v>https://www.youtube.com/watch?v=vif8NQcjVf0</x:v>
      </x:c>
      <x:c r="M4" s="21" t="str">
        <x:v>YouTube</x:v>
      </x:c>
      <x:c r="N4" s="24" t="n">
        <x:v>1297416</x:v>
      </x:c>
      <x:c r="O4" s="22" t="str">
        <x:v>A | Official / Original Creator / Organizer</x:v>
      </x:c>
      <x:c r="P4" s="22" t="str">
        <x:v>Core</x:v>
      </x:c>
      <x:c r="Q4" s="22" t="str">
        <x:v>Verified</x:v>
      </x:c>
      <x:c r="R4" s="25" t="n">
        <x:v>46244</x:v>
      </x:c>
      <x:c r="S4" s="17" t="str">
        <x:v>Matched to the target official channel; public metadata accessible.</x:v>
      </x:c>
      <x:c r="T4" s="16" t="str">
        <x:v>vif8NQcjVf0</x:v>
      </x:c>
    </x:row>
    <x:row r="5" ht="42" customHeight="1">
      <x:c r="A5" s="21" t="str">
        <x:v>ST-004</x:v>
      </x:c>
      <x:c r="B5" s="21" t="str">
        <x:v>Interview</x:v>
      </x:c>
      <x:c r="C5" s="21" t="str">
        <x:v>Other</x:v>
      </x:c>
      <x:c r="D5" s="17" t="str">
        <x:v>General AI / People</x:v>
      </x:c>
      <x:c r="E5" s="17" t="str">
        <x:v>General AI</x:v>
      </x:c>
      <x:c r="F5" s="22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2" t="str">
        <x:v>Podcast Interview</x:v>
      </x:c>
      <x:c r="K5" s="23" t="n">
        <x:v>198</x:v>
      </x:c>
      <x:c r="L5" s="16" t="str">
        <x:v>https://www.youtube.com/watch?v=AaTRHFaaPG8</x:v>
      </x:c>
      <x:c r="M5" s="21" t="str">
        <x:v>YouTube</x:v>
      </x:c>
      <x:c r="N5" s="24" t="n">
        <x:v>2155443</x:v>
      </x:c>
      <x:c r="O5" s="22" t="str">
        <x:v>A | Official / Original Creator / Organizer</x:v>
      </x:c>
      <x:c r="P5" s="22" t="str">
        <x:v>Core</x:v>
      </x:c>
      <x:c r="Q5" s="22" t="str">
        <x:v>Verified</x:v>
      </x:c>
      <x:c r="R5" s="25" t="n">
        <x:v>46244</x:v>
      </x:c>
      <x:c r="S5" s="17" t="str">
        <x:v>Matched to the target official channel; public metadata accessible.</x:v>
      </x:c>
      <x:c r="T5" s="16" t="str">
        <x:v>AaTRHFaaPG8</x:v>
      </x:c>
    </x:row>
    <x:row r="6" ht="42" customHeight="1">
      <x:c r="A6" s="21" t="str">
        <x:v>ST-005</x:v>
      </x:c>
      <x:c r="B6" s="21" t="str">
        <x:v>Interview</x:v>
      </x:c>
      <x:c r="C6" s="21" t="str">
        <x:v>Other</x:v>
      </x:c>
      <x:c r="D6" s="17" t="str">
        <x:v>General AI / People</x:v>
      </x:c>
      <x:c r="E6" s="17" t="str">
        <x:v>General AI</x:v>
      </x:c>
      <x:c r="F6" s="22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2" t="str">
        <x:v>Podcast Interview</x:v>
      </x:c>
      <x:c r="K6" s="23" t="n">
        <x:v>86</x:v>
      </x:c>
      <x:c r="L6" s="16" t="str">
        <x:v>https://www.youtube.com/watch?v=cQ48rP_Rs4g</x:v>
      </x:c>
      <x:c r="M6" s="21" t="str">
        <x:v>YouTube</x:v>
      </x:c>
      <x:c r="N6" s="24" t="n">
        <x:v>242069</x:v>
      </x:c>
      <x:c r="O6" s="22" t="str">
        <x:v>A | Official / Original Creator / Organizer</x:v>
      </x:c>
      <x:c r="P6" s="22" t="str">
        <x:v>Core</x:v>
      </x:c>
      <x:c r="Q6" s="22" t="str">
        <x:v>Verified</x:v>
      </x:c>
      <x:c r="R6" s="25" t="n">
        <x:v>46244</x:v>
      </x:c>
      <x:c r="S6" s="17" t="str">
        <x:v>Matched to the target official channel; public metadata accessible.</x:v>
      </x:c>
      <x:c r="T6" s="16" t="str">
        <x:v>cQ48rP_Rs4g</x:v>
      </x:c>
    </x:row>
    <x:row r="7" ht="42" customHeight="1">
      <x:c r="A7" s="21" t="str">
        <x:v>ST-006</x:v>
      </x:c>
      <x:c r="B7" s="21" t="str">
        <x:v>Interview</x:v>
      </x:c>
      <x:c r="C7" s="21" t="str">
        <x:v>Other</x:v>
      </x:c>
      <x:c r="D7" s="17" t="str">
        <x:v>General AI / People</x:v>
      </x:c>
      <x:c r="E7" s="17" t="str">
        <x:v>General AI</x:v>
      </x:c>
      <x:c r="F7" s="22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2" t="str">
        <x:v>Podcast Interview</x:v>
      </x:c>
      <x:c r="K7" s="23" t="n">
        <x:v>148</x:v>
      </x:c>
      <x:c r="L7" s="16" t="str">
        <x:v>https://www.youtube.com/watch?v=-HzgcbRXUK8</x:v>
      </x:c>
      <x:c r="M7" s="21" t="str">
        <x:v>YouTube</x:v>
      </x:c>
      <x:c r="N7" s="24" t="n">
        <x:v>1425893</x:v>
      </x:c>
      <x:c r="O7" s="22" t="str">
        <x:v>A | Official / Original Creator / Organizer</x:v>
      </x:c>
      <x:c r="P7" s="22" t="str">
        <x:v>Core</x:v>
      </x:c>
      <x:c r="Q7" s="22" t="str">
        <x:v>Verified</x:v>
      </x:c>
      <x:c r="R7" s="25" t="n">
        <x:v>46244</x:v>
      </x:c>
      <x:c r="S7" s="17" t="str">
        <x:v>Matched to the target official channel; public metadata accessible.</x:v>
      </x:c>
      <x:c r="T7" s="16" t="str">
        <x:v>-HzgcbRXUK8</x:v>
      </x:c>
    </x:row>
    <x:row r="8" ht="42" customHeight="1">
      <x:c r="A8" s="21" t="str">
        <x:v>ST-007</x:v>
      </x:c>
      <x:c r="B8" s="21" t="str">
        <x:v>Interview</x:v>
      </x:c>
      <x:c r="C8" s="21" t="str">
        <x:v>Other</x:v>
      </x:c>
      <x:c r="D8" s="17" t="str">
        <x:v>General AI / People</x:v>
      </x:c>
      <x:c r="E8" s="17" t="str">
        <x:v>General AI</x:v>
      </x:c>
      <x:c r="F8" s="22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2" t="str">
        <x:v>Podcast Interview</x:v>
      </x:c>
      <x:c r="K8" s="23" t="n">
        <x:v>164</x:v>
      </x:c>
      <x:c r="L8" s="16" t="str">
        <x:v>https://www.youtube.com/watch?v=hppbxV9C63g</x:v>
      </x:c>
      <x:c r="M8" s="21" t="str">
        <x:v>YouTube</x:v>
      </x:c>
      <x:c r="N8" s="24" t="n">
        <x:v>1894224</x:v>
      </x:c>
      <x:c r="O8" s="22" t="str">
        <x:v>A | Official / Original Creator / Organizer</x:v>
      </x:c>
      <x:c r="P8" s="22" t="str">
        <x:v>Core</x:v>
      </x:c>
      <x:c r="Q8" s="22" t="str">
        <x:v>Verified</x:v>
      </x:c>
      <x:c r="R8" s="25" t="n">
        <x:v>46244</x:v>
      </x:c>
      <x:c r="S8" s="17" t="str">
        <x:v>Matched to the target official channel; public metadata accessible.</x:v>
      </x:c>
      <x:c r="T8" s="16" t="str">
        <x:v>hppbxV9C63g</x:v>
      </x:c>
    </x:row>
    <x:row r="9" ht="42" customHeight="1">
      <x:c r="A9" s="21" t="str">
        <x:v>ST-008</x:v>
      </x:c>
      <x:c r="B9" s="21" t="str">
        <x:v>Interview</x:v>
      </x:c>
      <x:c r="C9" s="21" t="str">
        <x:v>Other</x:v>
      </x:c>
      <x:c r="D9" s="17" t="str">
        <x:v>AI Frontiers / Industry</x:v>
      </x:c>
      <x:c r="E9" s="17" t="str">
        <x:v>AI Frontiers</x:v>
      </x:c>
      <x:c r="F9" s="22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2" t="str">
        <x:v>In-depth Interview</x:v>
      </x:c>
      <x:c r="K9" s="23" t="n">
        <x:v>96</x:v>
      </x:c>
      <x:c r="L9" s="16" t="str">
        <x:v>https://www.youtube.com/watch?v=aR20FWCCjAs</x:v>
      </x:c>
      <x:c r="M9" s="21" t="str">
        <x:v>YouTube</x:v>
      </x:c>
      <x:c r="N9" s="24" t="n">
        <x:v>1454232</x:v>
      </x:c>
      <x:c r="O9" s="22" t="str">
        <x:v>A | Official / Original Creator / Organizer</x:v>
      </x:c>
      <x:c r="P9" s="22" t="str">
        <x:v>Core</x:v>
      </x:c>
      <x:c r="Q9" s="22" t="str">
        <x:v>Verified</x:v>
      </x:c>
      <x:c r="R9" s="25" t="n">
        <x:v>46244</x:v>
      </x:c>
      <x:c r="S9" s="17" t="str">
        <x:v>Matched to the target official channel; public metadata accessible.</x:v>
      </x:c>
      <x:c r="T9" s="16" t="str">
        <x:v>aR20FWCCjAs</x:v>
      </x:c>
    </x:row>
    <x:row r="10" ht="42" customHeight="1">
      <x:c r="A10" s="21" t="str">
        <x:v>ST-009</x:v>
      </x:c>
      <x:c r="B10" s="21" t="str">
        <x:v>Interview</x:v>
      </x:c>
      <x:c r="C10" s="21" t="str">
        <x:v>Other</x:v>
      </x:c>
      <x:c r="D10" s="17" t="str">
        <x:v>AI Frontiers / Industry</x:v>
      </x:c>
      <x:c r="E10" s="17" t="str">
        <x:v>AI Frontiers</x:v>
      </x:c>
      <x:c r="F10" s="22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2" t="str">
        <x:v>In-depth Interview</x:v>
      </x:c>
      <x:c r="K10" s="23" t="n">
        <x:v>146</x:v>
      </x:c>
      <x:c r="L10" s="16" t="str">
        <x:v>https://www.youtube.com/watch?v=lXUZvyajciY</x:v>
      </x:c>
      <x:c r="M10" s="21" t="str">
        <x:v>YouTube</x:v>
      </x:c>
      <x:c r="N10" s="24" t="n">
        <x:v>1363315</x:v>
      </x:c>
      <x:c r="O10" s="22" t="str">
        <x:v>A | Official / Original Creator / Organizer</x:v>
      </x:c>
      <x:c r="P10" s="22" t="str">
        <x:v>Core</x:v>
      </x:c>
      <x:c r="Q10" s="22" t="str">
        <x:v>Verified</x:v>
      </x:c>
      <x:c r="R10" s="25" t="n">
        <x:v>46244</x:v>
      </x:c>
      <x:c r="S10" s="17" t="str">
        <x:v>Matched to the target official channel; public metadata accessible.</x:v>
      </x:c>
      <x:c r="T10" s="16" t="str">
        <x:v>lXUZvyajciY</x:v>
      </x:c>
    </x:row>
    <x:row r="11" ht="42" customHeight="1">
      <x:c r="A11" s="21" t="str">
        <x:v>ST-010</x:v>
      </x:c>
      <x:c r="B11" s="21" t="str">
        <x:v>Interview</x:v>
      </x:c>
      <x:c r="C11" s="21" t="str">
        <x:v>Other</x:v>
      </x:c>
      <x:c r="D11" s="17" t="str">
        <x:v>AI Frontiers / Industry</x:v>
      </x:c>
      <x:c r="E11" s="17" t="str">
        <x:v>AI Frontiers</x:v>
      </x:c>
      <x:c r="F11" s="22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2" t="str">
        <x:v>In-depth Interview</x:v>
      </x:c>
      <x:c r="K11" s="23" t="n">
        <x:v>142</x:v>
      </x:c>
      <x:c r="L11" s="16" t="str">
        <x:v>https://www.youtube.com/watch?v=n1E9IZfvGMA</x:v>
      </x:c>
      <x:c r="M11" s="21" t="str">
        <x:v>YouTube</x:v>
      </x:c>
      <x:c r="N11" s="24" t="n">
        <x:v>1187082</x:v>
      </x:c>
      <x:c r="O11" s="22" t="str">
        <x:v>A | Official / Original Creator / Organizer</x:v>
      </x:c>
      <x:c r="P11" s="22" t="str">
        <x:v>Core</x:v>
      </x:c>
      <x:c r="Q11" s="22" t="str">
        <x:v>Verified</x:v>
      </x:c>
      <x:c r="R11" s="25" t="n">
        <x:v>46244</x:v>
      </x:c>
      <x:c r="S11" s="17" t="str">
        <x:v>Matched to the target official channel; public metadata accessible.</x:v>
      </x:c>
      <x:c r="T11" s="16" t="str">
        <x:v>n1E9IZfvGMA</x:v>
      </x:c>
    </x:row>
    <x:row r="12" ht="42" customHeight="1">
      <x:c r="A12" s="21" t="str">
        <x:v>ST-011</x:v>
      </x:c>
      <x:c r="B12" s="21" t="str">
        <x:v>Interview</x:v>
      </x:c>
      <x:c r="C12" s="21" t="str">
        <x:v>Other</x:v>
      </x:c>
      <x:c r="D12" s="17" t="str">
        <x:v>AI Frontiers / Industry</x:v>
      </x:c>
      <x:c r="E12" s="17" t="str">
        <x:v>Large Language Models; Reinforcement Learning</x:v>
      </x:c>
      <x:c r="F12" s="22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2" t="str">
        <x:v>In-depth Interview</x:v>
      </x:c>
      <x:c r="K12" s="23" t="n">
        <x:v>67</x:v>
      </x:c>
      <x:c r="L12" s="16" t="str">
        <x:v>https://www.youtube.com/watch?v=21EYKqUsPfg</x:v>
      </x:c>
      <x:c r="M12" s="21" t="str">
        <x:v>YouTube</x:v>
      </x:c>
      <x:c r="N12" s="24" t="n">
        <x:v>771170</x:v>
      </x:c>
      <x:c r="O12" s="22" t="str">
        <x:v>A | Official / Original Creator / Organizer</x:v>
      </x:c>
      <x:c r="P12" s="22" t="str">
        <x:v>Core</x:v>
      </x:c>
      <x:c r="Q12" s="22" t="str">
        <x:v>Verified</x:v>
      </x:c>
      <x:c r="R12" s="25" t="n">
        <x:v>46244</x:v>
      </x:c>
      <x:c r="S12" s="17" t="str">
        <x:v>Matched to the target official channel; public metadata accessible.</x:v>
      </x:c>
      <x:c r="T12" s="16" t="str">
        <x:v>21EYKqUsPfg</x:v>
      </x:c>
    </x:row>
    <x:row r="13" ht="42" customHeight="1">
      <x:c r="A13" s="21" t="str">
        <x:v>ST-012</x:v>
      </x:c>
      <x:c r="B13" s="21" t="str">
        <x:v>Interview</x:v>
      </x:c>
      <x:c r="C13" s="21" t="str">
        <x:v>Other</x:v>
      </x:c>
      <x:c r="D13" s="17" t="str">
        <x:v>AI Frontiers / Industry</x:v>
      </x:c>
      <x:c r="E13" s="17" t="str">
        <x:v>AI Systems / MLOps</x:v>
      </x:c>
      <x:c r="F13" s="22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2" t="str">
        <x:v>In-depth Interview</x:v>
      </x:c>
      <x:c r="K13" s="23" t="n">
        <x:v>151</x:v>
      </x:c>
      <x:c r="L13" s="16" t="str">
        <x:v>https://www.youtube.com/watch?v=mDG_Hx3BSUE</x:v>
      </x:c>
      <x:c r="M13" s="21" t="str">
        <x:v>YouTube</x:v>
      </x:c>
      <x:c r="N13" s="24" t="n">
        <x:v>300962</x:v>
      </x:c>
      <x:c r="O13" s="22" t="str">
        <x:v>A | Official / Original Creator / Organizer</x:v>
      </x:c>
      <x:c r="P13" s="22" t="str">
        <x:v>Core</x:v>
      </x:c>
      <x:c r="Q13" s="22" t="str">
        <x:v>Verified</x:v>
      </x:c>
      <x:c r="R13" s="25" t="n">
        <x:v>46244</x:v>
      </x:c>
      <x:c r="S13" s="17" t="str">
        <x:v>Matched to the target official channel; public metadata accessible.</x:v>
      </x:c>
      <x:c r="T13" s="16" t="str">
        <x:v>mDG_Hx3BSUE</x:v>
      </x:c>
    </x:row>
    <x:row r="14" ht="42" customHeight="1">
      <x:c r="A14" s="21" t="str">
        <x:v>ST-013</x:v>
      </x:c>
      <x:c r="B14" s="21" t="str">
        <x:v>Interview</x:v>
      </x:c>
      <x:c r="C14" s="21" t="str">
        <x:v>Other</x:v>
      </x:c>
      <x:c r="D14" s="17" t="str">
        <x:v>AI Frontiers / Industry</x:v>
      </x:c>
      <x:c r="E14" s="17" t="str">
        <x:v>AI Frontiers</x:v>
      </x:c>
      <x:c r="F14" s="22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2" t="str">
        <x:v>In-depth Interview</x:v>
      </x:c>
      <x:c r="K14" s="23" t="n">
        <x:v>48</x:v>
      </x:c>
      <x:c r="L14" s="16" t="str">
        <x:v>https://www.youtube.com/watch?v=Yf1o0TQzry8</x:v>
      </x:c>
      <x:c r="M14" s="21" t="str">
        <x:v>YouTube</x:v>
      </x:c>
      <x:c r="N14" s="24" t="n">
        <x:v>781047</x:v>
      </x:c>
      <x:c r="O14" s="22" t="str">
        <x:v>A | Official / Original Creator / Organizer</x:v>
      </x:c>
      <x:c r="P14" s="22" t="str">
        <x:v>Core</x:v>
      </x:c>
      <x:c r="Q14" s="22" t="str">
        <x:v>Verified</x:v>
      </x:c>
      <x:c r="R14" s="25" t="n">
        <x:v>46244</x:v>
      </x:c>
      <x:c r="S14" s="17" t="str">
        <x:v>Matched to the target official channel; public metadata accessible.</x:v>
      </x:c>
      <x:c r="T14" s="16" t="str">
        <x:v>Yf1o0TQzry8</x:v>
      </x:c>
    </x:row>
    <x:row r="15" ht="42" customHeight="1">
      <x:c r="A15" s="21" t="str">
        <x:v>ST-014</x:v>
      </x:c>
      <x:c r="B15" s="21" t="str">
        <x:v>Interview</x:v>
      </x:c>
      <x:c r="C15" s="21" t="str">
        <x:v>Other</x:v>
      </x:c>
      <x:c r="D15" s="17" t="str">
        <x:v>AI Frontiers / Industry</x:v>
      </x:c>
      <x:c r="E15" s="17" t="str">
        <x:v>AI Frontiers</x:v>
      </x:c>
      <x:c r="F15" s="22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2" t="str">
        <x:v>In-depth Interview</x:v>
      </x:c>
      <x:c r="K15" s="23" t="n">
        <x:v>131</x:v>
      </x:c>
      <x:c r="L15" s="16" t="str">
        <x:v>https://www.youtube.com/watch?v=pE3KKUKXcTM</x:v>
      </x:c>
      <x:c r="M15" s="21" t="str">
        <x:v>YouTube</x:v>
      </x:c>
      <x:c r="N15" s="24" t="n">
        <x:v>365341</x:v>
      </x:c>
      <x:c r="O15" s="22" t="str">
        <x:v>A | Official / Original Creator / Organizer</x:v>
      </x:c>
      <x:c r="P15" s="22" t="str">
        <x:v>Core</x:v>
      </x:c>
      <x:c r="Q15" s="22" t="str">
        <x:v>Verified</x:v>
      </x:c>
      <x:c r="R15" s="25" t="n">
        <x:v>46244</x:v>
      </x:c>
      <x:c r="S15" s="17" t="str">
        <x:v>Matched to the target official channel; public metadata accessible.</x:v>
      </x:c>
      <x:c r="T15" s="16" t="str">
        <x:v>pE3KKUKXcTM</x:v>
      </x:c>
    </x:row>
    <x:row r="16" ht="42" customHeight="1">
      <x:c r="A16" s="21" t="str">
        <x:v>ST-015</x:v>
      </x:c>
      <x:c r="B16" s="21" t="str">
        <x:v>Interview</x:v>
      </x:c>
      <x:c r="C16" s="21" t="str">
        <x:v>Other</x:v>
      </x:c>
      <x:c r="D16" s="17" t="str">
        <x:v>AI Frontiers / Industry</x:v>
      </x:c>
      <x:c r="E16" s="17" t="str">
        <x:v>AI Frontiers</x:v>
      </x:c>
      <x:c r="F16" s="22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2" t="str">
        <x:v>In-depth Interview</x:v>
      </x:c>
      <x:c r="K16" s="23" t="n">
        <x:v>97</x:v>
      </x:c>
      <x:c r="L16" s="16" t="str">
        <x:v>https://www.youtube.com/watch?v=a42key59cZQ</x:v>
      </x:c>
      <x:c r="M16" s="21" t="str">
        <x:v>YouTube</x:v>
      </x:c>
      <x:c r="N16" s="24" t="n">
        <x:v>175883</x:v>
      </x:c>
      <x:c r="O16" s="22" t="str">
        <x:v>A | Official / Original Creator / Organizer</x:v>
      </x:c>
      <x:c r="P16" s="22" t="str">
        <x:v>Core</x:v>
      </x:c>
      <x:c r="Q16" s="22" t="str">
        <x:v>Verified</x:v>
      </x:c>
      <x:c r="R16" s="25" t="n">
        <x:v>46244</x:v>
      </x:c>
      <x:c r="S16" s="17" t="str">
        <x:v>Matched to the target official channel; public metadata accessible.</x:v>
      </x:c>
      <x:c r="T16" s="16" t="str">
        <x:v>a42key59cZQ</x:v>
      </x:c>
    </x:row>
    <x:row r="17" ht="42" customHeight="1">
      <x:c r="A17" s="21" t="str">
        <x:v>ST-016</x:v>
      </x:c>
      <x:c r="B17" s="21" t="str">
        <x:v>Interview</x:v>
      </x:c>
      <x:c r="C17" s="21" t="str">
        <x:v>Other</x:v>
      </x:c>
      <x:c r="D17" s="17" t="str">
        <x:v>AI Systems / Accelerated Computing</x:v>
      </x:c>
      <x:c r="E17" s="17" t="str">
        <x:v>AI Systems / MLOps; AI for Science</x:v>
      </x:c>
      <x:c r="F17" s="22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2" t="str">
        <x:v>In-depth Interview</x:v>
      </x:c>
      <x:c r="K17" s="23" t="n">
        <x:v>59</x:v>
      </x:c>
      <x:c r="L17" s="16" t="str">
        <x:v>https://www.youtube.com/watch?v=zbiEYMapsvw</x:v>
      </x:c>
      <x:c r="M17" s="21" t="str">
        <x:v>YouTube</x:v>
      </x:c>
      <x:c r="N17" s="24" t="n">
        <x:v>41267</x:v>
      </x:c>
      <x:c r="O17" s="22" t="str">
        <x:v>A | Official / Original Creator / Organizer</x:v>
      </x:c>
      <x:c r="P17" s="22" t="str">
        <x:v>Core</x:v>
      </x:c>
      <x:c r="Q17" s="22" t="str">
        <x:v>Verified</x:v>
      </x:c>
      <x:c r="R17" s="25" t="n">
        <x:v>46244</x:v>
      </x:c>
      <x:c r="S17" s="17" t="str">
        <x:v>Matched to the target official channel; public metadata accessible.</x:v>
      </x:c>
      <x:c r="T17" s="16" t="str">
        <x:v>zbiEYMapsvw</x:v>
      </x:c>
    </x:row>
    <x:row r="18" ht="42" customHeight="1">
      <x:c r="A18" s="21" t="str">
        <x:v>ST-017</x:v>
      </x:c>
      <x:c r="B18" s="21" t="str">
        <x:v>Interview</x:v>
      </x:c>
      <x:c r="C18" s="21" t="str">
        <x:v>Other</x:v>
      </x:c>
      <x:c r="D18" s="17" t="str">
        <x:v>AI Systems / Accelerated Computing</x:v>
      </x:c>
      <x:c r="E18" s="17" t="str">
        <x:v>AI Systems / MLOps</x:v>
      </x:c>
      <x:c r="F18" s="22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2" t="str">
        <x:v>Fireside Chat</x:v>
      </x:c>
      <x:c r="K18" s="23" t="n">
        <x:v>123</x:v>
      </x:c>
      <x:c r="L18" s="16" t="str">
        <x:v>https://www.youtube.com/watch?v=9XB-LsfpvCU</x:v>
      </x:c>
      <x:c r="M18" s="21" t="str">
        <x:v>YouTube</x:v>
      </x:c>
      <x:c r="N18" s="24" t="n">
        <x:v>240200</x:v>
      </x:c>
      <x:c r="O18" s="22" t="str">
        <x:v>A | Official / Original Creator / Organizer</x:v>
      </x:c>
      <x:c r="P18" s="22" t="str">
        <x:v>Core</x:v>
      </x:c>
      <x:c r="Q18" s="22" t="str">
        <x:v>Verified</x:v>
      </x:c>
      <x:c r="R18" s="25" t="n">
        <x:v>46244</x:v>
      </x:c>
      <x:c r="S18" s="17" t="str">
        <x:v>Matched to the target official channel; public metadata accessible.</x:v>
      </x:c>
      <x:c r="T18" s="16" t="str">
        <x:v>9XB-LsfpvCU</x:v>
      </x:c>
    </x:row>
    <x:row r="19" ht="42" customHeight="1">
      <x:c r="A19" s="21" t="str">
        <x:v>ST-018</x:v>
      </x:c>
      <x:c r="B19" s="21" t="str">
        <x:v>Interview</x:v>
      </x:c>
      <x:c r="C19" s="21" t="str">
        <x:v>Robotics</x:v>
      </x:c>
      <x:c r="D19" s="17" t="str">
        <x:v>Robotics / Embodied AI</x:v>
      </x:c>
      <x:c r="E19" s="17" t="str">
        <x:v>Robotics / Embodied AI</x:v>
      </x:c>
      <x:c r="F19" s="22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2" t="str">
        <x:v>Podcast Interview</x:v>
      </x:c>
      <x:c r="K19" s="23" t="n">
        <x:v>70</x:v>
      </x:c>
      <x:c r="L19" s="16" t="str">
        <x:v>https://www.youtube.com/watch?v=nUtwOUNoZw0</x:v>
      </x:c>
      <x:c r="M19" s="21" t="str">
        <x:v>YouTube</x:v>
      </x:c>
      <x:c r="N19" s="24" t="n">
        <x:v>14957</x:v>
      </x:c>
      <x:c r="O19" s="22" t="str">
        <x:v>A | Official / Original Creator / Organizer</x:v>
      </x:c>
      <x:c r="P19" s="22" t="str">
        <x:v>Core</x:v>
      </x:c>
      <x:c r="Q19" s="22" t="str">
        <x:v>Verified</x:v>
      </x:c>
      <x:c r="R19" s="25" t="n">
        <x:v>46244</x:v>
      </x:c>
      <x:c r="S19" s="17" t="str">
        <x:v>Matched to the target official channel; public metadata accessible.</x:v>
      </x:c>
      <x:c r="T19" s="16" t="str">
        <x:v>nUtwOUNoZw0</x:v>
      </x:c>
    </x:row>
    <x:row r="20" ht="42" customHeight="1">
      <x:c r="A20" s="21" t="str">
        <x:v>ST-019</x:v>
      </x:c>
      <x:c r="B20" s="21" t="str">
        <x:v>Interview</x:v>
      </x:c>
      <x:c r="C20" s="21" t="str">
        <x:v>Other</x:v>
      </x:c>
      <x:c r="D20" s="17" t="str">
        <x:v>AI Research / Social Impact</x:v>
      </x:c>
      <x:c r="E20" s="17" t="str">
        <x:v>AI for Science</x:v>
      </x:c>
      <x:c r="F20" s="22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2" t="str">
        <x:v>In-depth Interview</x:v>
      </x:c>
      <x:c r="K20" s="23" t="n">
        <x:v>64</x:v>
      </x:c>
      <x:c r="L20" s="16" t="str">
        <x:v>https://www.youtube.com/watch?v=Gbnep6RJinQ</x:v>
      </x:c>
      <x:c r="M20" s="21" t="str">
        <x:v>YouTube</x:v>
      </x:c>
      <x:c r="N20" s="24" t="n">
        <x:v>44392</x:v>
      </x:c>
      <x:c r="O20" s="22" t="str">
        <x:v>A | Official / Original Creator / Organizer</x:v>
      </x:c>
      <x:c r="P20" s="22" t="str">
        <x:v>Core</x:v>
      </x:c>
      <x:c r="Q20" s="22" t="str">
        <x:v>Verified</x:v>
      </x:c>
      <x:c r="R20" s="25" t="n">
        <x:v>46244</x:v>
      </x:c>
      <x:c r="S20" s="17" t="str">
        <x:v>Matched to the target official channel; public metadata accessible.</x:v>
      </x:c>
      <x:c r="T20" s="16" t="str">
        <x:v>Gbnep6RJinQ</x:v>
      </x:c>
    </x:row>
    <x:row r="21" ht="42" customHeight="1">
      <x:c r="A21" s="21" t="str">
        <x:v>ST-020</x:v>
      </x:c>
      <x:c r="B21" s="21" t="str">
        <x:v>Interview</x:v>
      </x:c>
      <x:c r="C21" s="21" t="str">
        <x:v>Other</x:v>
      </x:c>
      <x:c r="D21" s="17" t="str">
        <x:v>Generative AI / Developers</x:v>
      </x:c>
      <x:c r="E21" s="17" t="str">
        <x:v>Generative AI</x:v>
      </x:c>
      <x:c r="F21" s="22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2" t="str">
        <x:v>Podcast Interview</x:v>
      </x:c>
      <x:c r="K21" s="23" t="n">
        <x:v>41</x:v>
      </x:c>
      <x:c r="L21" s="16" t="str">
        <x:v>https://www.youtube.com/watch?v=cFNI2FORAc0</x:v>
      </x:c>
      <x:c r="M21" s="21" t="str">
        <x:v>YouTube</x:v>
      </x:c>
      <x:c r="N21" s="24" t="n">
        <x:v>9448</x:v>
      </x:c>
      <x:c r="O21" s="22" t="str">
        <x:v>A | Official / Original Creator / Organizer</x:v>
      </x:c>
      <x:c r="P21" s="22" t="str">
        <x:v>Core</x:v>
      </x:c>
      <x:c r="Q21" s="22" t="str">
        <x:v>Verified</x:v>
      </x:c>
      <x:c r="R21" s="25" t="n">
        <x:v>46244</x:v>
      </x:c>
      <x:c r="S21" s="17" t="str">
        <x:v>Matched to the target official channel; public metadata accessible.</x:v>
      </x:c>
      <x:c r="T21" s="16" t="str">
        <x:v>cFNI2FORAc0</x:v>
      </x:c>
    </x:row>
    <x:row r="22" ht="42" customHeight="1">
      <x:c r="A22" s="21" t="str">
        <x:v>ST-021</x:v>
      </x:c>
      <x:c r="B22" s="21" t="str">
        <x:v>Interview</x:v>
      </x:c>
      <x:c r="C22" s="21" t="str">
        <x:v>Other</x:v>
      </x:c>
      <x:c r="D22" s="17" t="str">
        <x:v>AI Research / Social Impact</x:v>
      </x:c>
      <x:c r="E22" s="17" t="str">
        <x:v>AI Education</x:v>
      </x:c>
      <x:c r="F22" s="22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2" t="str">
        <x:v>Fireside Chat</x:v>
      </x:c>
      <x:c r="K22" s="23" t="n">
        <x:v>48</x:v>
      </x:c>
      <x:c r="L22" s="16" t="str">
        <x:v>https://www.youtube.com/watch?v=PZRNu9Ma9Ro</x:v>
      </x:c>
      <x:c r="M22" s="21" t="str">
        <x:v>YouTube</x:v>
      </x:c>
      <x:c r="N22" s="24" t="n">
        <x:v>4682</x:v>
      </x:c>
      <x:c r="O22" s="22" t="str">
        <x:v>A | Official / Original Creator / Organizer</x:v>
      </x:c>
      <x:c r="P22" s="22" t="str">
        <x:v>Core</x:v>
      </x:c>
      <x:c r="Q22" s="22" t="str">
        <x:v>Verified</x:v>
      </x:c>
      <x:c r="R22" s="25" t="n">
        <x:v>46244</x:v>
      </x:c>
      <x:c r="S22" s="17" t="str">
        <x:v>Matched to the target official channel; public metadata accessible.</x:v>
      </x:c>
      <x:c r="T22" s="16" t="str">
        <x:v>PZRNu9Ma9Ro</x:v>
      </x:c>
    </x:row>
    <x:row r="23" ht="42" customHeight="1">
      <x:c r="A23" s="21" t="str">
        <x:v>ST-022</x:v>
      </x:c>
      <x:c r="B23" s="21" t="str">
        <x:v>Interview</x:v>
      </x:c>
      <x:c r="C23" s="21" t="str">
        <x:v>Robotics</x:v>
      </x:c>
      <x:c r="D23" s="17" t="str">
        <x:v>MLOps / Applied AI</x:v>
      </x:c>
      <x:c r="E23" s="17" t="str">
        <x:v>Robotics / Embodied AI; AI Systems / MLOps</x:v>
      </x:c>
      <x:c r="F23" s="22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2" t="str">
        <x:v>In-depth Interview</x:v>
      </x:c>
      <x:c r="K23" s="23" t="n">
        <x:v>64</x:v>
      </x:c>
      <x:c r="L23" s="16" t="str">
        <x:v>https://www.youtube.com/watch?v=98O-QxW2Xoo</x:v>
      </x:c>
      <x:c r="M23" s="21" t="str">
        <x:v>YouTube</x:v>
      </x:c>
      <x:c r="N23" s="24" t="n">
        <x:v>3560</x:v>
      </x:c>
      <x:c r="O23" s="22" t="str">
        <x:v>A | Official / Original Creator / Organizer</x:v>
      </x:c>
      <x:c r="P23" s="22" t="str">
        <x:v>Core</x:v>
      </x:c>
      <x:c r="Q23" s="22" t="str">
        <x:v>Verified</x:v>
      </x:c>
      <x:c r="R23" s="25" t="n">
        <x:v>46244</x:v>
      </x:c>
      <x:c r="S23" s="17" t="str">
        <x:v>Matched to the target official channel; public metadata accessible.</x:v>
      </x:c>
      <x:c r="T23" s="16" t="str">
        <x:v>98O-QxW2Xoo</x:v>
      </x:c>
    </x:row>
    <x:row r="24" ht="42" customHeight="1">
      <x:c r="A24" s="21" t="str">
        <x:v>ST-023</x:v>
      </x:c>
      <x:c r="B24" s="21" t="str">
        <x:v>Interview</x:v>
      </x:c>
      <x:c r="C24" s="21" t="str">
        <x:v>Other</x:v>
      </x:c>
      <x:c r="D24" s="17" t="str">
        <x:v>MLOps / Applied AI</x:v>
      </x:c>
      <x:c r="E24" s="17" t="str">
        <x:v>AI Systems / MLOps</x:v>
      </x:c>
      <x:c r="F24" s="22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2" t="str">
        <x:v>In-depth Interview</x:v>
      </x:c>
      <x:c r="K24" s="23" t="n">
        <x:v>65</x:v>
      </x:c>
      <x:c r="L24" s="16" t="str">
        <x:v>https://www.youtube.com/watch?v=2wprKvXnErE</x:v>
      </x:c>
      <x:c r="M24" s="21" t="str">
        <x:v>YouTube</x:v>
      </x:c>
      <x:c r="N24" s="24" t="n">
        <x:v>6983</x:v>
      </x:c>
      <x:c r="O24" s="22" t="str">
        <x:v>A | Official / Original Creator / Organizer</x:v>
      </x:c>
      <x:c r="P24" s="22" t="str">
        <x:v>Core</x:v>
      </x:c>
      <x:c r="Q24" s="22" t="str">
        <x:v>Verified</x:v>
      </x:c>
      <x:c r="R24" s="25" t="n">
        <x:v>46244</x:v>
      </x:c>
      <x:c r="S24" s="17" t="str">
        <x:v>Matched to the target official channel; public metadata accessible.</x:v>
      </x:c>
      <x:c r="T24" s="16" t="str">
        <x:v>2wprKvXnErE</x:v>
      </x:c>
    </x:row>
    <x:row r="25" ht="42" customHeight="1">
      <x:c r="A25" s="21" t="str">
        <x:v>ST-024</x:v>
      </x:c>
      <x:c r="B25" s="21" t="str">
        <x:v>Interview</x:v>
      </x:c>
      <x:c r="C25" s="21" t="str">
        <x:v>Robotics</x:v>
      </x:c>
      <x:c r="D25" s="17" t="str">
        <x:v>Robotics / Embodied AI</x:v>
      </x:c>
      <x:c r="E25" s="17" t="str">
        <x:v>Robotics / Embodied AI</x:v>
      </x:c>
      <x:c r="F25" s="22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2" t="str">
        <x:v>Podcast Interview</x:v>
      </x:c>
      <x:c r="K25" s="23" t="n">
        <x:v>75</x:v>
      </x:c>
      <x:c r="L25" s="16" t="str">
        <x:v>https://www.youtube.com/watch?v=AHOw0huInzs</x:v>
      </x:c>
      <x:c r="M25" s="21" t="str">
        <x:v>YouTube</x:v>
      </x:c>
      <x:c r="N25" s="24" t="n">
        <x:v>6804</x:v>
      </x:c>
      <x:c r="O25" s="22" t="str">
        <x:v>A | Official / Original Creator / Organizer</x:v>
      </x:c>
      <x:c r="P25" s="22" t="str">
        <x:v>Core</x:v>
      </x:c>
      <x:c r="Q25" s="22" t="str">
        <x:v>Verified</x:v>
      </x:c>
      <x:c r="R25" s="25" t="n">
        <x:v>46244</x:v>
      </x:c>
      <x:c r="S25" s="17" t="str">
        <x:v>Matched to the target official channel; public metadata accessible.</x:v>
      </x:c>
      <x:c r="T25" s="16" t="str">
        <x:v>AHOw0huInzs</x:v>
      </x:c>
    </x:row>
    <x:row r="26" ht="42" customHeight="1">
      <x:c r="A26" s="21" t="str">
        <x:v>ST-025</x:v>
      </x:c>
      <x:c r="B26" s="21" t="str">
        <x:v>Interview</x:v>
      </x:c>
      <x:c r="C26" s="21" t="str">
        <x:v>Other</x:v>
      </x:c>
      <x:c r="D26" s="17" t="str">
        <x:v>MLOps / Applied AI</x:v>
      </x:c>
      <x:c r="E26" s="17" t="str">
        <x:v>Large Language Models; AI Systems / MLOps</x:v>
      </x:c>
      <x:c r="F26" s="22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2" t="str">
        <x:v>In-depth Interview</x:v>
      </x:c>
      <x:c r="K26" s="23" t="n">
        <x:v>68</x:v>
      </x:c>
      <x:c r="L26" s="16" t="str">
        <x:v>https://www.youtube.com/watch?v=sD24pZh7pmQ</x:v>
      </x:c>
      <x:c r="M26" s="21" t="str">
        <x:v>YouTube</x:v>
      </x:c>
      <x:c r="N26" s="24" t="n">
        <x:v>5543</x:v>
      </x:c>
      <x:c r="O26" s="22" t="str">
        <x:v>A | Official / Original Creator / Organizer</x:v>
      </x:c>
      <x:c r="P26" s="22" t="str">
        <x:v>Core</x:v>
      </x:c>
      <x:c r="Q26" s="22" t="str">
        <x:v>Verified</x:v>
      </x:c>
      <x:c r="R26" s="25" t="n">
        <x:v>46244</x:v>
      </x:c>
      <x:c r="S26" s="17" t="str">
        <x:v>Matched to the target official channel; public metadata accessible.</x:v>
      </x:c>
      <x:c r="T26" s="16" t="str">
        <x:v>sD24pZh7pmQ</x:v>
      </x:c>
    </x:row>
    <x:row r="27" ht="42" customHeight="1">
      <x:c r="A27" s="21" t="str">
        <x:v>ST-026</x:v>
      </x:c>
      <x:c r="B27" s="21" t="str">
        <x:v>Interview</x:v>
      </x:c>
      <x:c r="C27" s="21" t="str">
        <x:v>Other</x:v>
      </x:c>
      <x:c r="D27" s="17" t="str">
        <x:v>MLOps / Applied AI</x:v>
      </x:c>
      <x:c r="E27" s="17" t="str">
        <x:v>AI Systems / MLOps; AI Education</x:v>
      </x:c>
      <x:c r="F27" s="22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2" t="str">
        <x:v>In-depth Interview</x:v>
      </x:c>
      <x:c r="K27" s="23" t="n">
        <x:v>55</x:v>
      </x:c>
      <x:c r="L27" s="16" t="str">
        <x:v>https://www.youtube.com/watch?v=LdMydLBDgEQ</x:v>
      </x:c>
      <x:c r="M27" s="21" t="str">
        <x:v>YouTube</x:v>
      </x:c>
      <x:c r="N27" s="24" t="n">
        <x:v>3801</x:v>
      </x:c>
      <x:c r="O27" s="22" t="str">
        <x:v>A | Official / Original Creator / Organizer</x:v>
      </x:c>
      <x:c r="P27" s="22" t="str">
        <x:v>Core</x:v>
      </x:c>
      <x:c r="Q27" s="22" t="str">
        <x:v>Verified</x:v>
      </x:c>
      <x:c r="R27" s="25" t="n">
        <x:v>46244</x:v>
      </x:c>
      <x:c r="S27" s="17" t="str">
        <x:v>Matched to the target official channel; public metadata accessible.</x:v>
      </x:c>
      <x:c r="T27" s="16" t="str">
        <x:v>LdMydLBDgEQ</x:v>
      </x:c>
    </x:row>
    <x:row r="28" ht="42" customHeight="1">
      <x:c r="A28" s="21" t="str">
        <x:v>ST-027</x:v>
      </x:c>
      <x:c r="B28" s="21" t="str">
        <x:v>Interview</x:v>
      </x:c>
      <x:c r="C28" s="21" t="str">
        <x:v>Other</x:v>
      </x:c>
      <x:c r="D28" s="17" t="str">
        <x:v>AI Research / Social Impact</x:v>
      </x:c>
      <x:c r="E28" s="17" t="str">
        <x:v>AI Research</x:v>
      </x:c>
      <x:c r="F28" s="22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2" t="str">
        <x:v>Fireside Chat</x:v>
      </x:c>
      <x:c r="K28" s="23" t="n">
        <x:v>46</x:v>
      </x:c>
      <x:c r="L28" s="16" t="str">
        <x:v>https://www.youtube.com/watch?v=VPliJ1rSmnA</x:v>
      </x:c>
      <x:c r="M28" s="21" t="str">
        <x:v>YouTube</x:v>
      </x:c>
      <x:c r="N28" s="24" t="n">
        <x:v>621</x:v>
      </x:c>
      <x:c r="O28" s="22" t="str">
        <x:v>A | Official / Original Creator / Organizer</x:v>
      </x:c>
      <x:c r="P28" s="22" t="str">
        <x:v>Core</x:v>
      </x:c>
      <x:c r="Q28" s="22" t="str">
        <x:v>Verified</x:v>
      </x:c>
      <x:c r="R28" s="25" t="n">
        <x:v>46244</x:v>
      </x:c>
      <x:c r="S28" s="17" t="str">
        <x:v>Matched to the target official channel; public metadata accessible.</x:v>
      </x:c>
      <x:c r="T28" s="16" t="str">
        <x:v>VPliJ1rSmnA</x:v>
      </x:c>
    </x:row>
    <x:row r="29" ht="42" customHeight="1">
      <x:c r="A29" s="21" t="str">
        <x:v>ST-028</x:v>
      </x:c>
      <x:c r="B29" s="21" t="str">
        <x:v>Interview</x:v>
      </x:c>
      <x:c r="C29" s="21" t="str">
        <x:v>World Model</x:v>
      </x:c>
      <x:c r="D29" s="17" t="str">
        <x:v>AI Startups / Foundation Models</x:v>
      </x:c>
      <x:c r="E29" s="17" t="str">
        <x:v>Foundation Models / World Models</x:v>
      </x:c>
      <x:c r="F29" s="22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2" t="str">
        <x:v>In-depth Interview</x:v>
      </x:c>
      <x:c r="K29" s="23" t="n">
        <x:v>29</x:v>
      </x:c>
      <x:c r="L29" s="16" t="str">
        <x:v>https://www.youtube.com/watch?v=1dYThQgOyZU</x:v>
      </x:c>
      <x:c r="M29" s="21" t="str">
        <x:v>YouTube</x:v>
      </x:c>
      <x:c r="N29" s="24" t="n">
        <x:v>6153</x:v>
      </x:c>
      <x:c r="O29" s="22" t="str">
        <x:v>A | Official / Original Creator / Organizer</x:v>
      </x:c>
      <x:c r="P29" s="22" t="str">
        <x:v>Core</x:v>
      </x:c>
      <x:c r="Q29" s="22" t="str">
        <x:v>Verified</x:v>
      </x:c>
      <x:c r="R29" s="25" t="n">
        <x:v>46244</x:v>
      </x:c>
      <x:c r="S29" s="17" t="str">
        <x:v>Matched to the target official channel; public metadata accessible.</x:v>
      </x:c>
      <x:c r="T29" s="16" t="str">
        <x:v>1dYThQgOyZU</x:v>
      </x:c>
    </x:row>
    <x:row r="30" ht="42" customHeight="1">
      <x:c r="A30" s="21" t="str">
        <x:v>ST-029</x:v>
      </x:c>
      <x:c r="B30" s="21" t="str">
        <x:v>Interview</x:v>
      </x:c>
      <x:c r="C30" s="21" t="str">
        <x:v>Other</x:v>
      </x:c>
      <x:c r="D30" s="17" t="str">
        <x:v>AI Research / Social Impact</x:v>
      </x:c>
      <x:c r="E30" s="17" t="str">
        <x:v>AI for Science</x:v>
      </x:c>
      <x:c r="F30" s="22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2" t="str">
        <x:v>Fireside Chat</x:v>
      </x:c>
      <x:c r="K30" s="23" t="n">
        <x:v>62</x:v>
      </x:c>
      <x:c r="L30" s="16" t="str">
        <x:v>https://www.youtube.com/watch?v=G7zKx51604g</x:v>
      </x:c>
      <x:c r="M30" s="21" t="str">
        <x:v>YouTube</x:v>
      </x:c>
      <x:c r="N30" s="24" t="n">
        <x:v>762</x:v>
      </x:c>
      <x:c r="O30" s="22" t="str">
        <x:v>A | Official / Original Creator / Organizer</x:v>
      </x:c>
      <x:c r="P30" s="22" t="str">
        <x:v>Core</x:v>
      </x:c>
      <x:c r="Q30" s="22" t="str">
        <x:v>Verified</x:v>
      </x:c>
      <x:c r="R30" s="25" t="n">
        <x:v>46244</x:v>
      </x:c>
      <x:c r="S30" s="17" t="str">
        <x:v>Matched to the target official channel; public metadata accessible.</x:v>
      </x:c>
      <x:c r="T30" s="16" t="str">
        <x:v>G7zKx51604g</x:v>
      </x:c>
    </x:row>
    <x:row r="31" ht="42" customHeight="1">
      <x:c r="A31" s="21" t="str">
        <x:v>ST-030</x:v>
      </x:c>
      <x:c r="B31" s="21" t="str">
        <x:v>Interview</x:v>
      </x:c>
      <x:c r="C31" s="21" t="str">
        <x:v>Other</x:v>
      </x:c>
      <x:c r="D31" s="17" t="str">
        <x:v>AI Research / Social Impact</x:v>
      </x:c>
      <x:c r="E31" s="17" t="str">
        <x:v>AI for Science</x:v>
      </x:c>
      <x:c r="F31" s="22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2" t="str">
        <x:v>Fireside Chat</x:v>
      </x:c>
      <x:c r="K31" s="23" t="n">
        <x:v>29</x:v>
      </x:c>
      <x:c r="L31" s="16" t="str">
        <x:v>https://www.youtube.com/watch?v=Vu5nKPRZRDs</x:v>
      </x:c>
      <x:c r="M31" s="21" t="str">
        <x:v>YouTube</x:v>
      </x:c>
      <x:c r="N31" s="24" t="n">
        <x:v>163</x:v>
      </x:c>
      <x:c r="O31" s="22" t="str">
        <x:v>A | Official / Original Creator / Organizer</x:v>
      </x:c>
      <x:c r="P31" s="22" t="str">
        <x:v>Core</x:v>
      </x:c>
      <x:c r="Q31" s="22" t="str">
        <x:v>Verified</x:v>
      </x:c>
      <x:c r="R31" s="25" t="n">
        <x:v>46244</x:v>
      </x:c>
      <x:c r="S31" s="17" t="str">
        <x:v>Matched to the target official channel; public metadata accessible.</x:v>
      </x:c>
      <x:c r="T31" s="16" t="str">
        <x:v>Vu5nKPRZRDs</x:v>
      </x:c>
    </x:row>
    <x:row r="32" ht="42" customHeight="1">
      <x:c r="A32" s="21" t="str">
        <x:v>ST-031</x:v>
      </x:c>
      <x:c r="B32" s="21" t="str">
        <x:v>Interview</x:v>
      </x:c>
      <x:c r="C32" s="21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2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2" t="str">
        <x:v>In-depth Interview</x:v>
      </x:c>
      <x:c r="K32" s="23" t="n">
        <x:v>67</x:v>
      </x:c>
      <x:c r="L32" s="16" t="str">
        <x:v>https://www.youtube.com/watch?v=kwSVtQ7dziU</x:v>
      </x:c>
      <x:c r="M32" s="21" t="str">
        <x:v>YouTube</x:v>
      </x:c>
      <x:c r="N32" s="24" t="n">
        <x:v>952496</x:v>
      </x:c>
      <x:c r="O32" s="22" t="str">
        <x:v>A | Official / Original Creator / Organizer</x:v>
      </x:c>
      <x:c r="P32" s="22" t="str">
        <x:v>Core</x:v>
      </x:c>
      <x:c r="Q32" s="22" t="str">
        <x:v>Verified</x:v>
      </x:c>
      <x:c r="R32" s="25" t="n">
        <x:v>46244</x:v>
      </x:c>
      <x:c r="S32" s="17" t="str">
        <x:v>Matched to the target official channel; public metadata accessible.</x:v>
      </x:c>
      <x:c r="T32" s="16" t="str">
        <x:v>kwSVtQ7dziU</x:v>
      </x:c>
    </x:row>
    <x:row r="33" ht="42" customHeight="1">
      <x:c r="A33" s="21" t="str">
        <x:v>ST-032</x:v>
      </x:c>
      <x:c r="B33" s="21" t="str">
        <x:v>Interview</x:v>
      </x:c>
      <x:c r="C33" s="21" t="str">
        <x:v>Other</x:v>
      </x:c>
      <x:c r="D33" s="17" t="str">
        <x:v>AI Research / Social Impact</x:v>
      </x:c>
      <x:c r="E33" s="17" t="str">
        <x:v>AI for Science</x:v>
      </x:c>
      <x:c r="F33" s="22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2" t="str">
        <x:v>Fireside Chat</x:v>
      </x:c>
      <x:c r="K33" s="23" t="n">
        <x:v>35</x:v>
      </x:c>
      <x:c r="L33" s="16" t="str">
        <x:v>https://www.youtube.com/watch?v=hhq9cYqz1-Y</x:v>
      </x:c>
      <x:c r="M33" s="21" t="str">
        <x:v>YouTube</x:v>
      </x:c>
      <x:c r="N33" s="24" t="n">
        <x:v>218</x:v>
      </x:c>
      <x:c r="O33" s="22" t="str">
        <x:v>A | Official / Original Creator / Organizer</x:v>
      </x:c>
      <x:c r="P33" s="22" t="str">
        <x:v>Core</x:v>
      </x:c>
      <x:c r="Q33" s="22" t="str">
        <x:v>Verified</x:v>
      </x:c>
      <x:c r="R33" s="25" t="n">
        <x:v>46244</x:v>
      </x:c>
      <x:c r="S33" s="17" t="str">
        <x:v>Matched to the target official channel; public metadata accessible.</x:v>
      </x:c>
      <x:c r="T33" s="16" t="str">
        <x:v>hhq9cYqz1-Y</x:v>
      </x:c>
    </x:row>
    <x:row r="34" ht="42" customHeight="1">
      <x:c r="A34" s="21" t="str">
        <x:v>ST-033</x:v>
      </x:c>
      <x:c r="B34" s="21" t="str">
        <x:v>Interview</x:v>
      </x:c>
      <x:c r="C34" s="21" t="str">
        <x:v>Other</x:v>
      </x:c>
      <x:c r="D34" s="17" t="str">
        <x:v>AI Industry / Startups</x:v>
      </x:c>
      <x:c r="E34" s="17" t="str">
        <x:v>AI Industry</x:v>
      </x:c>
      <x:c r="F34" s="22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2" t="str">
        <x:v>In-depth Interview</x:v>
      </x:c>
      <x:c r="K34" s="23" t="n">
        <x:v>56</x:v>
      </x:c>
      <x:c r="L34" s="16" t="str">
        <x:v>https://www.youtube.com/watch?v=tYGMfd3_D1o</x:v>
      </x:c>
      <x:c r="M34" s="21" t="str">
        <x:v>YouTube</x:v>
      </x:c>
      <x:c r="N34" s="24" t="n">
        <x:v>225993</x:v>
      </x:c>
      <x:c r="O34" s="22" t="str">
        <x:v>A | Official / Original Creator / Organizer</x:v>
      </x:c>
      <x:c r="P34" s="22" t="str">
        <x:v>Core</x:v>
      </x:c>
      <x:c r="Q34" s="22" t="str">
        <x:v>Verified</x:v>
      </x:c>
      <x:c r="R34" s="25" t="n">
        <x:v>46244</x:v>
      </x:c>
      <x:c r="S34" s="17" t="str">
        <x:v>Matched to the target official channel; public metadata accessible.</x:v>
      </x:c>
      <x:c r="T34" s="16" t="str">
        <x:v>tYGMfd3_D1o</x:v>
      </x:c>
    </x:row>
    <x:row r="35" ht="42" customHeight="1">
      <x:c r="A35" s="21" t="str">
        <x:v>ST-034</x:v>
      </x:c>
      <x:c r="B35" s="21" t="str">
        <x:v>Interview</x:v>
      </x:c>
      <x:c r="C35" s="21" t="str">
        <x:v>Other</x:v>
      </x:c>
      <x:c r="D35" s="17" t="str">
        <x:v>Deep Learning / Research Trends</x:v>
      </x:c>
      <x:c r="E35" s="17" t="str">
        <x:v>Deep Learning</x:v>
      </x:c>
      <x:c r="F35" s="22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2" t="str">
        <x:v>In-depth Interview</x:v>
      </x:c>
      <x:c r="K35" s="23" t="n">
        <x:v>60</x:v>
      </x:c>
      <x:c r="L35" s="16" t="str">
        <x:v>https://www.youtube.com/watch?v=rMSEqJ_4EBk</x:v>
      </x:c>
      <x:c r="M35" s="21" t="str">
        <x:v>YouTube</x:v>
      </x:c>
      <x:c r="N35" s="24" t="n">
        <x:v>77299</x:v>
      </x:c>
      <x:c r="O35" s="22" t="str">
        <x:v>A | Official / Original Creator / Organizer</x:v>
      </x:c>
      <x:c r="P35" s="22" t="str">
        <x:v>Core</x:v>
      </x:c>
      <x:c r="Q35" s="22" t="str">
        <x:v>Verified</x:v>
      </x:c>
      <x:c r="R35" s="25" t="n">
        <x:v>46244</x:v>
      </x:c>
      <x:c r="S35" s="17" t="str">
        <x:v>Matched to the target official channel; public metadata accessible.</x:v>
      </x:c>
      <x:c r="T35" s="16" t="str">
        <x:v>rMSEqJ_4EBk</x:v>
      </x:c>
    </x:row>
    <x:row r="36" ht="42" customHeight="1">
      <x:c r="A36" s="21" t="str">
        <x:v>ST-035</x:v>
      </x:c>
      <x:c r="B36" s="21" t="str">
        <x:v>Interview</x:v>
      </x:c>
      <x:c r="C36" s="21" t="str">
        <x:v>Robotics</x:v>
      </x:c>
      <x:c r="D36" s="17" t="str">
        <x:v>Robotics / Embodied AI</x:v>
      </x:c>
      <x:c r="E36" s="17" t="str">
        <x:v>Robotics / Embodied AI</x:v>
      </x:c>
      <x:c r="F36" s="22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2" t="str">
        <x:v>In-depth Interview</x:v>
      </x:c>
      <x:c r="K36" s="23" t="n">
        <x:v>62</x:v>
      </x:c>
      <x:c r="L36" s="16" t="str">
        <x:v>https://www.youtube.com/watch?v=rLG68k2blOc</x:v>
      </x:c>
      <x:c r="M36" s="21" t="str">
        <x:v>YouTube</x:v>
      </x:c>
      <x:c r="N36" s="24" t="n">
        <x:v>112756</x:v>
      </x:c>
      <x:c r="O36" s="22" t="str">
        <x:v>A | Official / Original Creator / Organizer</x:v>
      </x:c>
      <x:c r="P36" s="22" t="str">
        <x:v>Core</x:v>
      </x:c>
      <x:c r="Q36" s="22" t="str">
        <x:v>Verified</x:v>
      </x:c>
      <x:c r="R36" s="25" t="n">
        <x:v>46244</x:v>
      </x:c>
      <x:c r="S36" s="17" t="str">
        <x:v>Matched to the target official channel; public metadata accessible.</x:v>
      </x:c>
      <x:c r="T36" s="16" t="str">
        <x:v>rLG68k2blOc</x:v>
      </x:c>
    </x:row>
    <x:row r="37" ht="42" customHeight="1">
      <x:c r="A37" s="21" t="str">
        <x:v>ST-036</x:v>
      </x:c>
      <x:c r="B37" s="21" t="str">
        <x:v>Interview</x:v>
      </x:c>
      <x:c r="C37" s="21" t="str">
        <x:v>Other</x:v>
      </x:c>
      <x:c r="D37" s="17" t="str">
        <x:v>Deep Learning / Research Trends</x:v>
      </x:c>
      <x:c r="E37" s="17" t="str">
        <x:v>AI Education</x:v>
      </x:c>
      <x:c r="F37" s="22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2" t="str">
        <x:v>In-depth Interview</x:v>
      </x:c>
      <x:c r="K37" s="23" t="n">
        <x:v>83</x:v>
      </x:c>
      <x:c r="L37" s="16" t="str">
        <x:v>https://www.youtube.com/watch?v=kuvFoXzTK3E</x:v>
      </x:c>
      <x:c r="M37" s="21" t="str">
        <x:v>YouTube</x:v>
      </x:c>
      <x:c r="N37" s="24" t="n">
        <x:v>132731</x:v>
      </x:c>
      <x:c r="O37" s="22" t="str">
        <x:v>A | Official / Original Creator / Organizer</x:v>
      </x:c>
      <x:c r="P37" s="22" t="str">
        <x:v>Core</x:v>
      </x:c>
      <x:c r="Q37" s="22" t="str">
        <x:v>Verified</x:v>
      </x:c>
      <x:c r="R37" s="25" t="n">
        <x:v>46244</x:v>
      </x:c>
      <x:c r="S37" s="17" t="str">
        <x:v>Matched to the target official channel; public metadata accessible.</x:v>
      </x:c>
      <x:c r="T37" s="16" t="str">
        <x:v>kuvFoXzTK3E</x:v>
      </x:c>
    </x:row>
    <x:row r="38" ht="42" customHeight="1">
      <x:c r="A38" s="21" t="str">
        <x:v>ST-037</x:v>
      </x:c>
      <x:c r="B38" s="21" t="str">
        <x:v>Interview</x:v>
      </x:c>
      <x:c r="C38" s="21" t="str">
        <x:v>Other</x:v>
      </x:c>
      <x:c r="D38" s="17" t="str">
        <x:v>Deep Learning / Research Trends</x:v>
      </x:c>
      <x:c r="E38" s="17" t="str">
        <x:v>Deep Learning</x:v>
      </x:c>
      <x:c r="F38" s="22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2" t="str">
        <x:v>In-depth Interview</x:v>
      </x:c>
      <x:c r="K38" s="23" t="n">
        <x:v>179</x:v>
      </x:c>
      <x:c r="L38" s="16" t="str">
        <x:v>https://www.youtube.com/watch?v=V_VXOdf1NMw</x:v>
      </x:c>
      <x:c r="M38" s="21" t="str">
        <x:v>YouTube</x:v>
      </x:c>
      <x:c r="N38" s="24" t="n">
        <x:v>136079</x:v>
      </x:c>
      <x:c r="O38" s="22" t="str">
        <x:v>A | Official / Original Creator / Organizer</x:v>
      </x:c>
      <x:c r="P38" s="22" t="str">
        <x:v>Core</x:v>
      </x:c>
      <x:c r="Q38" s="22" t="str">
        <x:v>Verified</x:v>
      </x:c>
      <x:c r="R38" s="25" t="n">
        <x:v>46244</x:v>
      </x:c>
      <x:c r="S38" s="17" t="str">
        <x:v>Matched to the target official channel; public metadata accessible.</x:v>
      </x:c>
      <x:c r="T38" s="16" t="str">
        <x:v>V_VXOdf1NMw</x:v>
      </x:c>
    </x:row>
    <x:row r="39" ht="42" customHeight="1">
      <x:c r="A39" s="21" t="str">
        <x:v>ST-038</x:v>
      </x:c>
      <x:c r="B39" s="21" t="str">
        <x:v>Interview</x:v>
      </x:c>
      <x:c r="C39" s="21" t="str">
        <x:v>Robotics</x:v>
      </x:c>
      <x:c r="D39" s="17" t="str">
        <x:v>Robotics / Embodied AI</x:v>
      </x:c>
      <x:c r="E39" s="17" t="str">
        <x:v>Robotics / Embodied AI</x:v>
      </x:c>
      <x:c r="F39" s="22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2" t="str">
        <x:v>Podcast Interview</x:v>
      </x:c>
      <x:c r="K39" s="23" t="n">
        <x:v>79</x:v>
      </x:c>
      <x:c r="L39" s="16" t="str">
        <x:v>https://www.youtube.com/watch?v=fCoavgGZ64Y</x:v>
      </x:c>
      <x:c r="M39" s="21" t="str">
        <x:v>YouTube</x:v>
      </x:c>
      <x:c r="N39" s="24" t="n">
        <x:v>178179</x:v>
      </x:c>
      <x:c r="O39" s="22" t="str">
        <x:v>A | Official / Original Creator / Organizer</x:v>
      </x:c>
      <x:c r="P39" s="22" t="str">
        <x:v>Core</x:v>
      </x:c>
      <x:c r="Q39" s="22" t="str">
        <x:v>Verified</x:v>
      </x:c>
      <x:c r="R39" s="25" t="n">
        <x:v>46244</x:v>
      </x:c>
      <x:c r="S39" s="17" t="str">
        <x:v>Matched to the target official channel; public metadata accessible.</x:v>
      </x:c>
      <x:c r="T39" s="16" t="str">
        <x:v>fCoavgGZ64Y</x:v>
      </x:c>
    </x:row>
    <x:row r="40" ht="42" customHeight="1">
      <x:c r="A40" s="21" t="str">
        <x:v>ST-039</x:v>
      </x:c>
      <x:c r="B40" s="21" t="str">
        <x:v>Interview</x:v>
      </x:c>
      <x:c r="C40" s="21" t="str">
        <x:v>Other</x:v>
      </x:c>
      <x:c r="D40" s="17" t="str">
        <x:v>Deep Learning / Research Trends</x:v>
      </x:c>
      <x:c r="E40" s="17" t="str">
        <x:v>Large Language Models</x:v>
      </x:c>
      <x:c r="F40" s="22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2" t="str">
        <x:v>In-depth Interview</x:v>
      </x:c>
      <x:c r="K40" s="23" t="n">
        <x:v>73</x:v>
      </x:c>
      <x:c r="L40" s="16" t="str">
        <x:v>https://www.youtube.com/watch?v=DtePicx_kFY</x:v>
      </x:c>
      <x:c r="M40" s="21" t="str">
        <x:v>YouTube</x:v>
      </x:c>
      <x:c r="N40" s="24" t="n">
        <x:v>107255</x:v>
      </x:c>
      <x:c r="O40" s="22" t="str">
        <x:v>A | Official / Original Creator / Organizer</x:v>
      </x:c>
      <x:c r="P40" s="22" t="str">
        <x:v>Core</x:v>
      </x:c>
      <x:c r="Q40" s="22" t="str">
        <x:v>Verified</x:v>
      </x:c>
      <x:c r="R40" s="25" t="n">
        <x:v>46244</x:v>
      </x:c>
      <x:c r="S40" s="17" t="str">
        <x:v>Matched to the target official channel; public metadata accessible.</x:v>
      </x:c>
      <x:c r="T40" s="16" t="str">
        <x:v>DtePicx_kFY</x:v>
      </x:c>
    </x:row>
    <x:row r="41" ht="42" customHeight="1">
      <x:c r="A41" s="21" t="str">
        <x:v>ST-040</x:v>
      </x:c>
      <x:c r="B41" s="21" t="str">
        <x:v>Interview</x:v>
      </x:c>
      <x:c r="C41" s="21" t="str">
        <x:v>World Model</x:v>
      </x:c>
      <x:c r="D41" s="17" t="str">
        <x:v>AI Startups / Foundation Models</x:v>
      </x:c>
      <x:c r="E41" s="17" t="str">
        <x:v>Foundation Models / World Models</x:v>
      </x:c>
      <x:c r="F41" s="22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2" t="str">
        <x:v>Podcast Interview</x:v>
      </x:c>
      <x:c r="K41" s="23" t="n">
        <x:v>44</x:v>
      </x:c>
      <x:c r="L41" s="16" t="str">
        <x:v>https://www.youtube.com/watch?v=hM_h0UA7upI</x:v>
      </x:c>
      <x:c r="M41" s="21" t="str">
        <x:v>YouTube</x:v>
      </x:c>
      <x:c r="N41" s="24" t="n">
        <x:v>239349</x:v>
      </x:c>
      <x:c r="O41" s="22" t="str">
        <x:v>A | Official / Original Creator / Organizer</x:v>
      </x:c>
      <x:c r="P41" s="22" t="str">
        <x:v>Core</x:v>
      </x:c>
      <x:c r="Q41" s="22" t="str">
        <x:v>Verified</x:v>
      </x:c>
      <x:c r="R41" s="25" t="n">
        <x:v>46244</x:v>
      </x:c>
      <x:c r="S41" s="17" t="str">
        <x:v>Matched to the target official channel; public metadata accessible.</x:v>
      </x:c>
      <x:c r="T41" s="16" t="str">
        <x:v>hM_h0UA7upI</x:v>
      </x:c>
    </x:row>
    <x:row r="42" ht="42" customHeight="1">
      <x:c r="A42" s="21" t="str">
        <x:v>ST-041</x:v>
      </x:c>
      <x:c r="B42" s="21" t="str">
        <x:v>Interview</x:v>
      </x:c>
      <x:c r="C42" s="21" t="str">
        <x:v>Other</x:v>
      </x:c>
      <x:c r="D42" s="17" t="str">
        <x:v>Generative AI / Developers</x:v>
      </x:c>
      <x:c r="E42" s="17" t="str">
        <x:v>Generative AI</x:v>
      </x:c>
      <x:c r="F42" s="22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2" t="str">
        <x:v>In-depth Interview</x:v>
      </x:c>
      <x:c r="K42" s="23" t="n">
        <x:v>57</x:v>
      </x:c>
      <x:c r="L42" s="16" t="str">
        <x:v>https://www.youtube.com/watch?v=pIbIZ_Bxl_g</x:v>
      </x:c>
      <x:c r="M42" s="21" t="str">
        <x:v>YouTube</x:v>
      </x:c>
      <x:c r="N42" s="24" t="n">
        <x:v>60410</x:v>
      </x:c>
      <x:c r="O42" s="22" t="str">
        <x:v>A | Official / Original Creator / Organizer</x:v>
      </x:c>
      <x:c r="P42" s="22" t="str">
        <x:v>Core</x:v>
      </x:c>
      <x:c r="Q42" s="22" t="str">
        <x:v>Verified</x:v>
      </x:c>
      <x:c r="R42" s="25" t="n">
        <x:v>46244</x:v>
      </x:c>
      <x:c r="S42" s="17" t="str">
        <x:v>Matched to the target official channel; public metadata accessible.</x:v>
      </x:c>
      <x:c r="T42" s="16" t="str">
        <x:v>pIbIZ_Bxl_g</x:v>
      </x:c>
    </x:row>
    <x:row r="43" ht="42" customHeight="1">
      <x:c r="A43" s="21" t="str">
        <x:v>ST-042</x:v>
      </x:c>
      <x:c r="B43" s="21" t="str">
        <x:v>Interview</x:v>
      </x:c>
      <x:c r="C43" s="21" t="str">
        <x:v>Other</x:v>
      </x:c>
      <x:c r="D43" s="17" t="str">
        <x:v>Deep Learning / Research Trends</x:v>
      </x:c>
      <x:c r="E43" s="17" t="str">
        <x:v>AI Education</x:v>
      </x:c>
      <x:c r="F43" s="22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2" t="str">
        <x:v>In-depth Interview</x:v>
      </x:c>
      <x:c r="K43" s="23" t="n">
        <x:v>113</x:v>
      </x:c>
      <x:c r="L43" s="16" t="str">
        <x:v>https://www.youtube.com/watch?v=URtF_UHYBSo</x:v>
      </x:c>
      <x:c r="M43" s="21" t="str">
        <x:v>YouTube</x:v>
      </x:c>
      <x:c r="N43" s="24" t="n">
        <x:v>551367</x:v>
      </x:c>
      <x:c r="O43" s="22" t="str">
        <x:v>A | Official / Original Creator / Organizer</x:v>
      </x:c>
      <x:c r="P43" s="22" t="str">
        <x:v>Core</x:v>
      </x:c>
      <x:c r="Q43" s="22" t="str">
        <x:v>Verified</x:v>
      </x:c>
      <x:c r="R43" s="25" t="n">
        <x:v>46244</x:v>
      </x:c>
      <x:c r="S43" s="17" t="str">
        <x:v>Matched to the target official channel; public metadata accessible.</x:v>
      </x:c>
      <x:c r="T43" s="16" t="str">
        <x:v>URtF_UHYBSo</x:v>
      </x:c>
    </x:row>
    <x:row r="44" ht="42" customHeight="1">
      <x:c r="A44" s="21" t="str">
        <x:v>ST-043</x:v>
      </x:c>
      <x:c r="B44" s="21" t="str">
        <x:v>Interview</x:v>
      </x:c>
      <x:c r="C44" s="21" t="str">
        <x:v>Vision</x:v>
      </x:c>
      <x:c r="D44" s="17" t="str">
        <x:v>MLOps / Applied AI</x:v>
      </x:c>
      <x:c r="E44" s="17" t="str">
        <x:v>Generative AI; AI Systems / MLOps</x:v>
      </x:c>
      <x:c r="F44" s="22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2" t="str">
        <x:v>In-depth Interview</x:v>
      </x:c>
      <x:c r="K44" s="23" t="n">
        <x:v>73</x:v>
      </x:c>
      <x:c r="L44" s="16" t="str">
        <x:v>https://www.youtube.com/watch?v=HhGOGuJY1Wk</x:v>
      </x:c>
      <x:c r="M44" s="21" t="str">
        <x:v>YouTube</x:v>
      </x:c>
      <x:c r="N44" s="24" t="n">
        <x:v>52651</x:v>
      </x:c>
      <x:c r="O44" s="22" t="str">
        <x:v>A | Official / Original Creator / Organizer</x:v>
      </x:c>
      <x:c r="P44" s="22" t="str">
        <x:v>Core</x:v>
      </x:c>
      <x:c r="Q44" s="22" t="str">
        <x:v>Verified</x:v>
      </x:c>
      <x:c r="R44" s="25" t="n">
        <x:v>46244</x:v>
      </x:c>
      <x:c r="S44" s="17" t="str">
        <x:v>Matched to the target official channel; public metadata accessible.</x:v>
      </x:c>
      <x:c r="T44" s="16" t="str">
        <x:v>HhGOGuJY1Wk</x:v>
      </x:c>
    </x:row>
    <x:row r="45" ht="42" customHeight="1">
      <x:c r="A45" s="21" t="str">
        <x:v>ST-044</x:v>
      </x:c>
      <x:c r="B45" s="21" t="str">
        <x:v>Interview</x:v>
      </x:c>
      <x:c r="C45" s="21" t="str">
        <x:v>Other</x:v>
      </x:c>
      <x:c r="D45" s="17" t="str">
        <x:v>Deep Learning / Research Trends</x:v>
      </x:c>
      <x:c r="E45" s="17" t="str">
        <x:v>Deep Learning</x:v>
      </x:c>
      <x:c r="F45" s="22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2" t="str">
        <x:v>In-depth Interview</x:v>
      </x:c>
      <x:c r="K45" s="23" t="n">
        <x:v>77</x:v>
      </x:c>
      <x:c r="L45" s="16" t="str">
        <x:v>https://www.youtube.com/watch?v=AREWYbVtX64</x:v>
      </x:c>
      <x:c r="M45" s="21" t="str">
        <x:v>YouTube</x:v>
      </x:c>
      <x:c r="N45" s="24" t="n">
        <x:v>38070</x:v>
      </x:c>
      <x:c r="O45" s="22" t="str">
        <x:v>A | Official / Original Creator / Organizer</x:v>
      </x:c>
      <x:c r="P45" s="22" t="str">
        <x:v>Core</x:v>
      </x:c>
      <x:c r="Q45" s="22" t="str">
        <x:v>Verified</x:v>
      </x:c>
      <x:c r="R45" s="25" t="n">
        <x:v>46244</x:v>
      </x:c>
      <x:c r="S45" s="17" t="str">
        <x:v>Matched to the target official channel; public metadata accessible.</x:v>
      </x:c>
      <x:c r="T45" s="16" t="str">
        <x:v>AREWYbVtX64</x:v>
      </x:c>
    </x:row>
    <x:row r="46" ht="42" customHeight="1">
      <x:c r="A46" s="21" t="str">
        <x:v>ST-045</x:v>
      </x:c>
      <x:c r="B46" s="21" t="str">
        <x:v>Interview</x:v>
      </x:c>
      <x:c r="C46" s="21" t="str">
        <x:v>Other</x:v>
      </x:c>
      <x:c r="D46" s="17" t="str">
        <x:v>Deep Learning / Research Trends</x:v>
      </x:c>
      <x:c r="E46" s="17" t="str">
        <x:v>AI Education</x:v>
      </x:c>
      <x:c r="F46" s="22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2" t="str">
        <x:v>In-depth Interview</x:v>
      </x:c>
      <x:c r="K46" s="23" t="n">
        <x:v>200</x:v>
      </x:c>
      <x:c r="L46" s="16" t="str">
        <x:v>https://www.youtube.com/watch?v=86ib0sfdFtw</x:v>
      </x:c>
      <x:c r="M46" s="21" t="str">
        <x:v>YouTube</x:v>
      </x:c>
      <x:c r="N46" s="24" t="n">
        <x:v>172306</x:v>
      </x:c>
      <x:c r="O46" s="22" t="str">
        <x:v>A | Official / Original Creator / Organizer</x:v>
      </x:c>
      <x:c r="P46" s="22" t="str">
        <x:v>Core</x:v>
      </x:c>
      <x:c r="Q46" s="22" t="str">
        <x:v>Verified</x:v>
      </x:c>
      <x:c r="R46" s="25" t="n">
        <x:v>46244</x:v>
      </x:c>
      <x:c r="S46" s="17" t="str">
        <x:v>Matched to the target official channel; public metadata accessible.</x:v>
      </x:c>
      <x:c r="T46" s="16" t="str">
        <x:v>86ib0sfdFtw</x:v>
      </x:c>
    </x:row>
    <x:row r="47" ht="42" customHeight="1">
      <x:c r="A47" s="21" t="str">
        <x:v>ST-046</x:v>
      </x:c>
      <x:c r="B47" s="21" t="str">
        <x:v>Interview</x:v>
      </x:c>
      <x:c r="C47" s="21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2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2" t="str">
        <x:v>In-depth Interview</x:v>
      </x:c>
      <x:c r="K47" s="23" t="n">
        <x:v>76</x:v>
      </x:c>
      <x:c r="L47" s="16" t="str">
        <x:v>https://www.youtube.com/watch?v=k-xtmISBCNE</x:v>
      </x:c>
      <x:c r="M47" s="21" t="str">
        <x:v>YouTube</x:v>
      </x:c>
      <x:c r="N47" s="24" t="n">
        <x:v>64113</x:v>
      </x:c>
      <x:c r="O47" s="22" t="str">
        <x:v>A | Official / Original Creator / Organizer</x:v>
      </x:c>
      <x:c r="P47" s="22" t="str">
        <x:v>Core</x:v>
      </x:c>
      <x:c r="Q47" s="22" t="str">
        <x:v>Verified</x:v>
      </x:c>
      <x:c r="R47" s="25" t="n">
        <x:v>46244</x:v>
      </x:c>
      <x:c r="S47" s="17" t="str">
        <x:v>Matched to the target official channel; public metadata accessible.</x:v>
      </x:c>
      <x:c r="T47" s="16" t="str">
        <x:v>k-xtmISBCNE</x:v>
      </x:c>
    </x:row>
    <x:row r="48" ht="42" customHeight="1">
      <x:c r="A48" s="21" t="str">
        <x:v>ST-047</x:v>
      </x:c>
      <x:c r="B48" s="21" t="str">
        <x:v>Interview</x:v>
      </x:c>
      <x:c r="C48" s="21" t="str">
        <x:v>Other</x:v>
      </x:c>
      <x:c r="D48" s="17" t="str">
        <x:v>Deep Learning / Research Trends</x:v>
      </x:c>
      <x:c r="E48" s="17" t="str">
        <x:v>Deep Learning</x:v>
      </x:c>
      <x:c r="F48" s="22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2" t="str">
        <x:v>In-depth Interview</x:v>
      </x:c>
      <x:c r="K48" s="23" t="n">
        <x:v>136</x:v>
      </x:c>
      <x:c r="L48" s="16" t="str">
        <x:v>https://www.youtube.com/watch?v=KKUKikuV58o</x:v>
      </x:c>
      <x:c r="M48" s="21" t="str">
        <x:v>YouTube</x:v>
      </x:c>
      <x:c r="N48" s="24" t="n">
        <x:v>22042</x:v>
      </x:c>
      <x:c r="O48" s="22" t="str">
        <x:v>A | Official / Original Creator / Organizer</x:v>
      </x:c>
      <x:c r="P48" s="22" t="str">
        <x:v>Core</x:v>
      </x:c>
      <x:c r="Q48" s="22" t="str">
        <x:v>Verified</x:v>
      </x:c>
      <x:c r="R48" s="25" t="n">
        <x:v>46244</x:v>
      </x:c>
      <x:c r="S48" s="17" t="str">
        <x:v>Matched to the target official channel; public metadata accessible.</x:v>
      </x:c>
      <x:c r="T48" s="16" t="str">
        <x:v>KKUKikuV58o</x:v>
      </x:c>
    </x:row>
    <x:row r="49" ht="42" customHeight="1">
      <x:c r="A49" s="21" t="str">
        <x:v>ST-048</x:v>
      </x:c>
      <x:c r="B49" s="21" t="str">
        <x:v>Interview</x:v>
      </x:c>
      <x:c r="C49" s="21" t="str">
        <x:v>World Model</x:v>
      </x:c>
      <x:c r="D49" s="17" t="str">
        <x:v>AI Startups / Foundation Models</x:v>
      </x:c>
      <x:c r="E49" s="17" t="str">
        <x:v>Foundation Models / World Models</x:v>
      </x:c>
      <x:c r="F49" s="22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2" t="str">
        <x:v>In-depth Interview</x:v>
      </x:c>
      <x:c r="K49" s="23" t="n">
        <x:v>45</x:v>
      </x:c>
      <x:c r="L49" s="16" t="str">
        <x:v>https://www.youtube.com/watch?v=asCgCv2XB4s</x:v>
      </x:c>
      <x:c r="M49" s="21" t="str">
        <x:v>YouTube</x:v>
      </x:c>
      <x:c r="N49" s="24" t="n">
        <x:v>47244</x:v>
      </x:c>
      <x:c r="O49" s="22" t="str">
        <x:v>A | Official / Original Creator / Organizer</x:v>
      </x:c>
      <x:c r="P49" s="22" t="str">
        <x:v>Core</x:v>
      </x:c>
      <x:c r="Q49" s="22" t="str">
        <x:v>Verified</x:v>
      </x:c>
      <x:c r="R49" s="25" t="n">
        <x:v>46244</x:v>
      </x:c>
      <x:c r="S49" s="17" t="str">
        <x:v>Matched to the target official channel; public metadata accessible.</x:v>
      </x:c>
      <x:c r="T49" s="16" t="str">
        <x:v>asCgCv2XB4s</x:v>
      </x:c>
    </x:row>
    <x:row r="50" ht="42" customHeight="1">
      <x:c r="A50" s="21" t="str">
        <x:v>ST-049</x:v>
      </x:c>
      <x:c r="B50" s="21" t="str">
        <x:v>Interview</x:v>
      </x:c>
      <x:c r="C50" s="21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2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2" t="str">
        <x:v>In-depth Interview</x:v>
      </x:c>
      <x:c r="K50" s="23" t="n">
        <x:v>52</x:v>
      </x:c>
      <x:c r="L50" s="16" t="str">
        <x:v>https://www.youtube.com/watch?v=5mY71rGXAkM</x:v>
      </x:c>
      <x:c r="M50" s="21" t="str">
        <x:v>YouTube</x:v>
      </x:c>
      <x:c r="N50" s="24" t="n">
        <x:v>25680</x:v>
      </x:c>
      <x:c r="O50" s="22" t="str">
        <x:v>A | Official / Original Creator / Organizer</x:v>
      </x:c>
      <x:c r="P50" s="22" t="str">
        <x:v>Core</x:v>
      </x:c>
      <x:c r="Q50" s="22" t="str">
        <x:v>Verified</x:v>
      </x:c>
      <x:c r="R50" s="25" t="n">
        <x:v>46244</x:v>
      </x:c>
      <x:c r="S50" s="17" t="str">
        <x:v>Matched to the target official channel; public metadata accessible.</x:v>
      </x:c>
      <x:c r="T50" s="16" t="str">
        <x:v>5mY71rGXAkM</x:v>
      </x:c>
    </x:row>
    <x:row r="51" ht="42" customHeight="1">
      <x:c r="A51" s="21" t="str">
        <x:v>ST-050</x:v>
      </x:c>
      <x:c r="B51" s="21" t="str">
        <x:v>Interview</x:v>
      </x:c>
      <x:c r="C51" s="21" t="str">
        <x:v>Other</x:v>
      </x:c>
      <x:c r="D51" s="17" t="str">
        <x:v>AI Systems / Accelerated Computing</x:v>
      </x:c>
      <x:c r="E51" s="17" t="str">
        <x:v>AI Systems / MLOps</x:v>
      </x:c>
      <x:c r="F51" s="22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2" t="str">
        <x:v>In-depth Interview</x:v>
      </x:c>
      <x:c r="K51" s="23" t="n">
        <x:v>83</x:v>
      </x:c>
      <x:c r="L51" s="16" t="str">
        <x:v>https://www.youtube.com/watch?v=Oojrfdl42LI</x:v>
      </x:c>
      <x:c r="M51" s="21" t="str">
        <x:v>YouTube</x:v>
      </x:c>
      <x:c r="N51" s="24" t="n">
        <x:v>19596</x:v>
      </x:c>
      <x:c r="O51" s="22" t="str">
        <x:v>A | Official / Original Creator / Organizer</x:v>
      </x:c>
      <x:c r="P51" s="22" t="str">
        <x:v>Core</x:v>
      </x:c>
      <x:c r="Q51" s="22" t="str">
        <x:v>Verified</x:v>
      </x:c>
      <x:c r="R51" s="25" t="n">
        <x:v>46244</x:v>
      </x:c>
      <x:c r="S51" s="17" t="str">
        <x:v>Matched to the target official channel; public metadata accessible.</x:v>
      </x:c>
      <x:c r="T51" s="16" t="str">
        <x:v>Oojrfdl42LI</x:v>
      </x:c>
    </x:row>
    <x:row r="52" ht="42" customHeight="1">
      <x:c r="A52" s="21" t="str">
        <x:v>ST-051</x:v>
      </x:c>
      <x:c r="B52" s="21" t="str">
        <x:v>Interview</x:v>
      </x:c>
      <x:c r="C52" s="21" t="str">
        <x:v>Agent</x:v>
      </x:c>
      <x:c r="D52" s="17" t="str">
        <x:v>Generative AI / Developers</x:v>
      </x:c>
      <x:c r="E52" s="17" t="str">
        <x:v>Generative AI; Agents</x:v>
      </x:c>
      <x:c r="F52" s="22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2" t="str">
        <x:v>In-depth Interview</x:v>
      </x:c>
      <x:c r="K52" s="23" t="n">
        <x:v>70</x:v>
      </x:c>
      <x:c r="L52" s="16" t="str">
        <x:v>https://www.youtube.com/watch?v=Yp_u1NpbkJg</x:v>
      </x:c>
      <x:c r="M52" s="21" t="str">
        <x:v>YouTube</x:v>
      </x:c>
      <x:c r="N52" s="24" t="n">
        <x:v>21866</x:v>
      </x:c>
      <x:c r="O52" s="22" t="str">
        <x:v>A | Official / Original Creator / Organizer</x:v>
      </x:c>
      <x:c r="P52" s="22" t="str">
        <x:v>Core</x:v>
      </x:c>
      <x:c r="Q52" s="22" t="str">
        <x:v>Verified</x:v>
      </x:c>
      <x:c r="R52" s="25" t="n">
        <x:v>46244</x:v>
      </x:c>
      <x:c r="S52" s="17" t="str">
        <x:v>Matched to the target official channel; public metadata accessible.</x:v>
      </x:c>
      <x:c r="T52" s="16" t="str">
        <x:v>Yp_u1NpbkJg</x:v>
      </x:c>
    </x:row>
    <x:row r="53" ht="42" customHeight="1">
      <x:c r="A53" s="21" t="str">
        <x:v>ST-052</x:v>
      </x:c>
      <x:c r="B53" s="21" t="str">
        <x:v>Interview</x:v>
      </x:c>
      <x:c r="C53" s="21" t="str">
        <x:v>World Model</x:v>
      </x:c>
      <x:c r="D53" s="17" t="str">
        <x:v>AI Startups / Foundation Models</x:v>
      </x:c>
      <x:c r="E53" s="17" t="str">
        <x:v>Foundation Models / World Models</x:v>
      </x:c>
      <x:c r="F53" s="22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2" t="str">
        <x:v>Podcast Interview</x:v>
      </x:c>
      <x:c r="K53" s="23" t="n">
        <x:v>39</x:v>
      </x:c>
      <x:c r="L53" s="16" t="str">
        <x:v>https://www.youtube.com/watch?v=2SWRU7YOd6c</x:v>
      </x:c>
      <x:c r="M53" s="21" t="str">
        <x:v>YouTube</x:v>
      </x:c>
      <x:c r="N53" s="24" t="n">
        <x:v>19159</x:v>
      </x:c>
      <x:c r="O53" s="22" t="str">
        <x:v>A | Official / Original Creator / Organizer</x:v>
      </x:c>
      <x:c r="P53" s="22" t="str">
        <x:v>Core</x:v>
      </x:c>
      <x:c r="Q53" s="22" t="str">
        <x:v>Verified</x:v>
      </x:c>
      <x:c r="R53" s="25" t="n">
        <x:v>46244</x:v>
      </x:c>
      <x:c r="S53" s="17" t="str">
        <x:v>Matched to the target official channel; public metadata accessible.</x:v>
      </x:c>
      <x:c r="T53" s="16" t="str">
        <x:v>2SWRU7YOd6c</x:v>
      </x:c>
    </x:row>
    <x:row r="54" ht="42" customHeight="1">
      <x:c r="A54" s="21" t="str">
        <x:v>ST-053</x:v>
      </x:c>
      <x:c r="B54" s="21" t="str">
        <x:v>Interview</x:v>
      </x:c>
      <x:c r="C54" s="21" t="str">
        <x:v>Robotics</x:v>
      </x:c>
      <x:c r="D54" s="17" t="str">
        <x:v>Robotics / Embodied AI</x:v>
      </x:c>
      <x:c r="E54" s="17" t="str">
        <x:v>Robotics / Embodied AI</x:v>
      </x:c>
      <x:c r="F54" s="22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2" t="str">
        <x:v>Podcast Interview</x:v>
      </x:c>
      <x:c r="K54" s="23" t="n">
        <x:v>80</x:v>
      </x:c>
      <x:c r="L54" s="16" t="str">
        <x:v>https://www.youtube.com/watch?v=PlLmdTcsAWU</x:v>
      </x:c>
      <x:c r="M54" s="21" t="str">
        <x:v>YouTube</x:v>
      </x:c>
      <x:c r="N54" s="24" t="n">
        <x:v>86329</x:v>
      </x:c>
      <x:c r="O54" s="22" t="str">
        <x:v>A | Official / Original Creator / Organizer</x:v>
      </x:c>
      <x:c r="P54" s="22" t="str">
        <x:v>Core</x:v>
      </x:c>
      <x:c r="Q54" s="22" t="str">
        <x:v>Verified</x:v>
      </x:c>
      <x:c r="R54" s="25" t="n">
        <x:v>46244</x:v>
      </x:c>
      <x:c r="S54" s="17" t="str">
        <x:v>Matched to the target official channel; public metadata accessible.</x:v>
      </x:c>
      <x:c r="T54" s="16" t="str">
        <x:v>PlLmdTcsAWU</x:v>
      </x:c>
    </x:row>
    <x:row r="55" ht="42" customHeight="1">
      <x:c r="A55" s="21" t="str">
        <x:v>ST-054</x:v>
      </x:c>
      <x:c r="B55" s="21" t="str">
        <x:v>Interview</x:v>
      </x:c>
      <x:c r="C55" s="21" t="str">
        <x:v>World Model</x:v>
      </x:c>
      <x:c r="D55" s="17" t="str">
        <x:v>AI Startups / Foundation Models</x:v>
      </x:c>
      <x:c r="E55" s="17" t="str">
        <x:v>Foundation Models / World Models</x:v>
      </x:c>
      <x:c r="F55" s="22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2" t="str">
        <x:v>In-depth Interview</x:v>
      </x:c>
      <x:c r="K55" s="23" t="n">
        <x:v>57</x:v>
      </x:c>
      <x:c r="L55" s="16" t="str">
        <x:v>https://www.youtube.com/watch?v=tNNFJa5pUEg</x:v>
      </x:c>
      <x:c r="M55" s="21" t="str">
        <x:v>YouTube</x:v>
      </x:c>
      <x:c r="N55" s="24" t="n">
        <x:v>47814</x:v>
      </x:c>
      <x:c r="O55" s="22" t="str">
        <x:v>A | Official / Original Creator / Organizer</x:v>
      </x:c>
      <x:c r="P55" s="22" t="str">
        <x:v>Core</x:v>
      </x:c>
      <x:c r="Q55" s="22" t="str">
        <x:v>Verified</x:v>
      </x:c>
      <x:c r="R55" s="25" t="n">
        <x:v>46244</x:v>
      </x:c>
      <x:c r="S55" s="17" t="str">
        <x:v>Matched to the target official channel; public metadata accessible.</x:v>
      </x:c>
      <x:c r="T55" s="16" t="str">
        <x:v>tNNFJa5pUEg</x:v>
      </x:c>
    </x:row>
    <x:row r="56" ht="42" customHeight="1">
      <x:c r="A56" s="21" t="str">
        <x:v>ST-055</x:v>
      </x:c>
      <x:c r="B56" s="21" t="str">
        <x:v>Interview</x:v>
      </x:c>
      <x:c r="C56" s="21" t="str">
        <x:v>Robotics</x:v>
      </x:c>
      <x:c r="D56" s="17" t="str">
        <x:v>Robotics / Embodied AI</x:v>
      </x:c>
      <x:c r="E56" s="17" t="str">
        <x:v>Robotics / Embodied AI</x:v>
      </x:c>
      <x:c r="F56" s="22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2" t="str">
        <x:v>Podcast Interview</x:v>
      </x:c>
      <x:c r="K56" s="23" t="n">
        <x:v>73</x:v>
      </x:c>
      <x:c r="L56" s="16" t="str">
        <x:v>https://www.youtube.com/watch?v=YE1UDwksAOc</x:v>
      </x:c>
      <x:c r="M56" s="21" t="str">
        <x:v>YouTube</x:v>
      </x:c>
      <x:c r="N56" s="24" t="n">
        <x:v>19020</x:v>
      </x:c>
      <x:c r="O56" s="22" t="str">
        <x:v>A | Official / Original Creator / Organizer</x:v>
      </x:c>
      <x:c r="P56" s="22" t="str">
        <x:v>Core</x:v>
      </x:c>
      <x:c r="Q56" s="22" t="str">
        <x:v>Verified</x:v>
      </x:c>
      <x:c r="R56" s="25" t="n">
        <x:v>46244</x:v>
      </x:c>
      <x:c r="S56" s="17" t="str">
        <x:v>Matched to the target official channel; public metadata accessible.</x:v>
      </x:c>
      <x:c r="T56" s="16" t="str">
        <x:v>YE1UDwksAOc</x:v>
      </x:c>
    </x:row>
    <x:row r="57" ht="42" customHeight="1">
      <x:c r="A57" s="21" t="str">
        <x:v>ST-056</x:v>
      </x:c>
      <x:c r="B57" s="21" t="str">
        <x:v>Interview</x:v>
      </x:c>
      <x:c r="C57" s="21" t="str">
        <x:v>Other</x:v>
      </x:c>
      <x:c r="D57" s="17" t="str">
        <x:v>Generative AI / Developers</x:v>
      </x:c>
      <x:c r="E57" s="17" t="str">
        <x:v>Generative AI</x:v>
      </x:c>
      <x:c r="F57" s="22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2" t="str">
        <x:v>In-depth Interview</x:v>
      </x:c>
      <x:c r="K57" s="23" t="n">
        <x:v>69</x:v>
      </x:c>
      <x:c r="L57" s="16" t="str">
        <x:v>https://www.youtube.com/watch?v=35ZWesLrv5A</x:v>
      </x:c>
      <x:c r="M57" s="21" t="str">
        <x:v>YouTube</x:v>
      </x:c>
      <x:c r="N57" s="24" t="n">
        <x:v>71977</x:v>
      </x:c>
      <x:c r="O57" s="22" t="str">
        <x:v>A | Official / Original Creator / Organizer</x:v>
      </x:c>
      <x:c r="P57" s="22" t="str">
        <x:v>Core</x:v>
      </x:c>
      <x:c r="Q57" s="22" t="str">
        <x:v>Verified</x:v>
      </x:c>
      <x:c r="R57" s="25" t="n">
        <x:v>46244</x:v>
      </x:c>
      <x:c r="S57" s="17" t="str">
        <x:v>Matched to the target official channel; public metadata accessible.</x:v>
      </x:c>
      <x:c r="T57" s="16" t="str">
        <x:v>35ZWesLrv5A</x:v>
      </x:c>
    </x:row>
    <x:row r="58" ht="42" customHeight="1">
      <x:c r="A58" s="21" t="str">
        <x:v>ST-057</x:v>
      </x:c>
      <x:c r="B58" s="21" t="str">
        <x:v>Interview</x:v>
      </x:c>
      <x:c r="C58" s="21" t="str">
        <x:v>Other</x:v>
      </x:c>
      <x:c r="D58" s="17" t="str">
        <x:v>AI Systems / Accelerated Computing</x:v>
      </x:c>
      <x:c r="E58" s="17" t="str">
        <x:v>AI Systems / MLOps</x:v>
      </x:c>
      <x:c r="F58" s="22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2" t="str">
        <x:v>In-depth Interview</x:v>
      </x:c>
      <x:c r="K58" s="23" t="n">
        <x:v>40</x:v>
      </x:c>
      <x:c r="L58" s="16" t="str">
        <x:v>https://www.youtube.com/watch?v=d5wm5hvNybg</x:v>
      </x:c>
      <x:c r="M58" s="21" t="str">
        <x:v>YouTube</x:v>
      </x:c>
      <x:c r="N58" s="24" t="n">
        <x:v>26922</x:v>
      </x:c>
      <x:c r="O58" s="22" t="str">
        <x:v>A | Official / Original Creator / Organizer</x:v>
      </x:c>
      <x:c r="P58" s="22" t="str">
        <x:v>Core</x:v>
      </x:c>
      <x:c r="Q58" s="22" t="str">
        <x:v>Verified</x:v>
      </x:c>
      <x:c r="R58" s="25" t="n">
        <x:v>46244</x:v>
      </x:c>
      <x:c r="S58" s="17" t="str">
        <x:v>Matched to the target official channel; public metadata accessible.</x:v>
      </x:c>
      <x:c r="T58" s="16" t="str">
        <x:v>d5wm5hvNybg</x:v>
      </x:c>
    </x:row>
    <x:row r="59" ht="42" customHeight="1">
      <x:c r="A59" s="21" t="str">
        <x:v>ST-058</x:v>
      </x:c>
      <x:c r="B59" s="21" t="str">
        <x:v>Interview</x:v>
      </x:c>
      <x:c r="C59" s="21" t="str">
        <x:v>Robotics</x:v>
      </x:c>
      <x:c r="D59" s="17" t="str">
        <x:v>Robotics / Embodied AI</x:v>
      </x:c>
      <x:c r="E59" s="17" t="str">
        <x:v>Robotics / Embodied AI; AI Education</x:v>
      </x:c>
      <x:c r="F59" s="22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2" t="str">
        <x:v>In-depth Interview</x:v>
      </x:c>
      <x:c r="K59" s="23" t="n">
        <x:v>92</x:v>
      </x:c>
      <x:c r="L59" s="16" t="str">
        <x:v>https://www.youtube.com/watch?v=k_Wrd1kI1B0</x:v>
      </x:c>
      <x:c r="M59" s="21" t="str">
        <x:v>YouTube</x:v>
      </x:c>
      <x:c r="N59" s="24" t="n">
        <x:v>6442</x:v>
      </x:c>
      <x:c r="O59" s="22" t="str">
        <x:v>A | Official / Original Creator / Organizer</x:v>
      </x:c>
      <x:c r="P59" s="22" t="str">
        <x:v>Core</x:v>
      </x:c>
      <x:c r="Q59" s="22" t="str">
        <x:v>Verified</x:v>
      </x:c>
      <x:c r="R59" s="25" t="n">
        <x:v>46244</x:v>
      </x:c>
      <x:c r="S59" s="17" t="str">
        <x:v>Matched to the target official channel; public metadata accessible.</x:v>
      </x:c>
      <x:c r="T59" s="16" t="str">
        <x:v>k_Wrd1kI1B0</x:v>
      </x:c>
    </x:row>
    <x:row r="60" ht="42" customHeight="1">
      <x:c r="A60" s="21" t="str">
        <x:v>ST-059</x:v>
      </x:c>
      <x:c r="B60" s="21" t="str">
        <x:v>Interview</x:v>
      </x:c>
      <x:c r="C60" s="21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2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2" t="str">
        <x:v>In-depth Interview</x:v>
      </x:c>
      <x:c r="K60" s="23" t="n">
        <x:v>69</x:v>
      </x:c>
      <x:c r="L60" s="16" t="str">
        <x:v>https://www.youtube.com/watch?v=oNKt1yhY4GY</x:v>
      </x:c>
      <x:c r="M60" s="21" t="str">
        <x:v>YouTube</x:v>
      </x:c>
      <x:c r="N60" s="24" t="n">
        <x:v>7163</x:v>
      </x:c>
      <x:c r="O60" s="22" t="str">
        <x:v>A | Official / Original Creator / Organizer</x:v>
      </x:c>
      <x:c r="P60" s="22" t="str">
        <x:v>Core</x:v>
      </x:c>
      <x:c r="Q60" s="22" t="str">
        <x:v>Verified</x:v>
      </x:c>
      <x:c r="R60" s="25" t="n">
        <x:v>46244</x:v>
      </x:c>
      <x:c r="S60" s="17" t="str">
        <x:v>Matched to the target official channel; public metadata accessible.</x:v>
      </x:c>
      <x:c r="T60" s="16" t="str">
        <x:v>oNKt1yhY4GY</x:v>
      </x:c>
    </x:row>
    <x:row r="61" ht="42" customHeight="1">
      <x:c r="A61" s="21" t="str">
        <x:v>ST-060</x:v>
      </x:c>
      <x:c r="B61" s="21" t="str">
        <x:v>Interview</x:v>
      </x:c>
      <x:c r="C61" s="21" t="str">
        <x:v>Other</x:v>
      </x:c>
      <x:c r="D61" s="17" t="str">
        <x:v>Generative AI / Developers</x:v>
      </x:c>
      <x:c r="E61" s="17" t="str">
        <x:v>Generative AI</x:v>
      </x:c>
      <x:c r="F61" s="22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2" t="str">
        <x:v>In-depth Interview</x:v>
      </x:c>
      <x:c r="K61" s="23" t="n">
        <x:v>80</x:v>
      </x:c>
      <x:c r="L61" s="16" t="str">
        <x:v>https://www.youtube.com/watch?v=m2VqaNKstGc</x:v>
      </x:c>
      <x:c r="M61" s="21" t="str">
        <x:v>YouTube</x:v>
      </x:c>
      <x:c r="N61" s="24" t="n">
        <x:v>10054</x:v>
      </x:c>
      <x:c r="O61" s="22" t="str">
        <x:v>A | Official / Original Creator / Organizer</x:v>
      </x:c>
      <x:c r="P61" s="22" t="str">
        <x:v>Core</x:v>
      </x:c>
      <x:c r="Q61" s="22" t="str">
        <x:v>Verified</x:v>
      </x:c>
      <x:c r="R61" s="25" t="n">
        <x:v>46244</x:v>
      </x:c>
      <x:c r="S61" s="17" t="str">
        <x:v>Matched to the target official channel; public metadata accessible.</x:v>
      </x:c>
      <x:c r="T61" s="16" t="str">
        <x:v>m2VqaNKstGc</x:v>
      </x:c>
    </x:row>
    <x:row r="62" ht="42" customHeight="1">
      <x:c r="A62" s="21" t="str">
        <x:v>ST-061</x:v>
      </x:c>
      <x:c r="B62" s="21" t="str">
        <x:v>Interview</x:v>
      </x:c>
      <x:c r="C62" s="21" t="str">
        <x:v>World Model</x:v>
      </x:c>
      <x:c r="D62" s="17" t="str">
        <x:v>AI Industry / Startups</x:v>
      </x:c>
      <x:c r="E62" s="17" t="str">
        <x:v>Foundation Models / World Models</x:v>
      </x:c>
      <x:c r="F62" s="22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2" t="str">
        <x:v>In-depth Interview</x:v>
      </x:c>
      <x:c r="K62" s="23" t="n">
        <x:v>41</x:v>
      </x:c>
      <x:c r="L62" s="16" t="str">
        <x:v>https://www.youtube.com/watch?v=I5xsDMJMdwo</x:v>
      </x:c>
      <x:c r="M62" s="21" t="str">
        <x:v>YouTube</x:v>
      </x:c>
      <x:c r="N62" s="24" t="n">
        <x:v>13831</x:v>
      </x:c>
      <x:c r="O62" s="22" t="str">
        <x:v>A | Official / Original Creator / Organizer</x:v>
      </x:c>
      <x:c r="P62" s="22" t="str">
        <x:v>Core</x:v>
      </x:c>
      <x:c r="Q62" s="22" t="str">
        <x:v>Verified</x:v>
      </x:c>
      <x:c r="R62" s="25" t="n">
        <x:v>46244</x:v>
      </x:c>
      <x:c r="S62" s="17" t="str">
        <x:v>Matched to the target official channel; public metadata accessible.</x:v>
      </x:c>
      <x:c r="T62" s="16" t="str">
        <x:v>I5xsDMJMdwo</x:v>
      </x:c>
    </x:row>
    <x:row r="63" ht="42" customHeight="1">
      <x:c r="A63" s="21" t="str">
        <x:v>ST-062</x:v>
      </x:c>
      <x:c r="B63" s="21" t="str">
        <x:v>Interview</x:v>
      </x:c>
      <x:c r="C63" s="21" t="str">
        <x:v>Other</x:v>
      </x:c>
      <x:c r="D63" s="17" t="str">
        <x:v>Machine Learning / Engineering Practice</x:v>
      </x:c>
      <x:c r="E63" s="17" t="str">
        <x:v>Machine Learning</x:v>
      </x:c>
      <x:c r="F63" s="22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2" t="str">
        <x:v>In-depth Interview</x:v>
      </x:c>
      <x:c r="K63" s="23" t="n">
        <x:v>46</x:v>
      </x:c>
      <x:c r="L63" s="16" t="str">
        <x:v>https://www.youtube.com/watch?v=9mvZHd3TMa8</x:v>
      </x:c>
      <x:c r="M63" s="21" t="str">
        <x:v>YouTube</x:v>
      </x:c>
      <x:c r="N63" s="24" t="n">
        <x:v>9382</x:v>
      </x:c>
      <x:c r="O63" s="22" t="str">
        <x:v>A | Official / Original Creator / Organizer</x:v>
      </x:c>
      <x:c r="P63" s="22" t="str">
        <x:v>Core</x:v>
      </x:c>
      <x:c r="Q63" s="22" t="str">
        <x:v>Verified</x:v>
      </x:c>
      <x:c r="R63" s="25" t="n">
        <x:v>46244</x:v>
      </x:c>
      <x:c r="S63" s="17" t="str">
        <x:v>Matched to the target official channel; public metadata accessible.</x:v>
      </x:c>
      <x:c r="T63" s="16" t="str">
        <x:v>9mvZHd3TMa8</x:v>
      </x:c>
    </x:row>
    <x:row r="64" ht="42" customHeight="1">
      <x:c r="A64" s="21" t="str">
        <x:v>ST-063</x:v>
      </x:c>
      <x:c r="B64" s="21" t="str">
        <x:v>Interview</x:v>
      </x:c>
      <x:c r="C64" s="21" t="str">
        <x:v>Other</x:v>
      </x:c>
      <x:c r="D64" s="17" t="str">
        <x:v>Generative AI / Developers</x:v>
      </x:c>
      <x:c r="E64" s="17" t="str">
        <x:v>Generative AI</x:v>
      </x:c>
      <x:c r="F64" s="22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2" t="str">
        <x:v>In-depth Interview</x:v>
      </x:c>
      <x:c r="K64" s="23" t="n">
        <x:v>49</x:v>
      </x:c>
      <x:c r="L64" s="16" t="str">
        <x:v>https://www.youtube.com/watch?v=HQucglw-4t8</x:v>
      </x:c>
      <x:c r="M64" s="21" t="str">
        <x:v>YouTube</x:v>
      </x:c>
      <x:c r="N64" s="24" t="n">
        <x:v>3243</x:v>
      </x:c>
      <x:c r="O64" s="22" t="str">
        <x:v>A | Official / Original Creator / Organizer</x:v>
      </x:c>
      <x:c r="P64" s="22" t="str">
        <x:v>Core</x:v>
      </x:c>
      <x:c r="Q64" s="22" t="str">
        <x:v>Verified</x:v>
      </x:c>
      <x:c r="R64" s="25" t="n">
        <x:v>46244</x:v>
      </x:c>
      <x:c r="S64" s="17" t="str">
        <x:v>Matched to the target official channel; public metadata accessible.</x:v>
      </x:c>
      <x:c r="T64" s="16" t="str">
        <x:v>HQucglw-4t8</x:v>
      </x:c>
    </x:row>
    <x:row r="65" ht="42" customHeight="1">
      <x:c r="A65" s="21" t="str">
        <x:v>ST-064</x:v>
      </x:c>
      <x:c r="B65" s="21" t="str">
        <x:v>Interview</x:v>
      </x:c>
      <x:c r="C65" s="21" t="str">
        <x:v>Other</x:v>
      </x:c>
      <x:c r="D65" s="17" t="str">
        <x:v>MLOps / Applied AI</x:v>
      </x:c>
      <x:c r="E65" s="17" t="str">
        <x:v>AI Systems / MLOps</x:v>
      </x:c>
      <x:c r="F65" s="22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2" t="str">
        <x:v>In-depth Interview</x:v>
      </x:c>
      <x:c r="K65" s="23" t="n">
        <x:v>66</x:v>
      </x:c>
      <x:c r="L65" s="16" t="str">
        <x:v>https://www.youtube.com/watch?v=y7k50Qux9Hc</x:v>
      </x:c>
      <x:c r="M65" s="21" t="str">
        <x:v>YouTube</x:v>
      </x:c>
      <x:c r="N65" s="24" t="n">
        <x:v>12226</x:v>
      </x:c>
      <x:c r="O65" s="22" t="str">
        <x:v>A | Official / Original Creator / Organizer</x:v>
      </x:c>
      <x:c r="P65" s="22" t="str">
        <x:v>Core</x:v>
      </x:c>
      <x:c r="Q65" s="22" t="str">
        <x:v>Verified</x:v>
      </x:c>
      <x:c r="R65" s="25" t="n">
        <x:v>46244</x:v>
      </x:c>
      <x:c r="S65" s="17" t="str">
        <x:v>Matched to the target official channel; public metadata accessible.</x:v>
      </x:c>
      <x:c r="T65" s="16" t="str">
        <x:v>y7k50Qux9Hc</x:v>
      </x:c>
    </x:row>
    <x:row r="66" ht="42" customHeight="1">
      <x:c r="A66" s="21" t="str">
        <x:v>ST-065</x:v>
      </x:c>
      <x:c r="B66" s="21" t="str">
        <x:v>Interview</x:v>
      </x:c>
      <x:c r="C66" s="21" t="str">
        <x:v>Other</x:v>
      </x:c>
      <x:c r="D66" s="17" t="str">
        <x:v>Machine Learning / Engineering Practice</x:v>
      </x:c>
      <x:c r="E66" s="17" t="str">
        <x:v>Machine Learning</x:v>
      </x:c>
      <x:c r="F66" s="22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2" t="str">
        <x:v>In-depth Interview</x:v>
      </x:c>
      <x:c r="K66" s="23" t="n">
        <x:v>51</x:v>
      </x:c>
      <x:c r="L66" s="16" t="str">
        <x:v>https://www.youtube.com/watch?v=C8SuqeH_Mg0</x:v>
      </x:c>
      <x:c r="M66" s="21" t="str">
        <x:v>YouTube</x:v>
      </x:c>
      <x:c r="N66" s="24" t="n">
        <x:v>1060</x:v>
      </x:c>
      <x:c r="O66" s="22" t="str">
        <x:v>A | Official / Original Creator / Organizer</x:v>
      </x:c>
      <x:c r="P66" s="22" t="str">
        <x:v>Core</x:v>
      </x:c>
      <x:c r="Q66" s="22" t="str">
        <x:v>Verified</x:v>
      </x:c>
      <x:c r="R66" s="25" t="n">
        <x:v>46244</x:v>
      </x:c>
      <x:c r="S66" s="17" t="str">
        <x:v>Matched to the target official channel; public metadata accessible.</x:v>
      </x:c>
      <x:c r="T66" s="16" t="str">
        <x:v>C8SuqeH_Mg0</x:v>
      </x:c>
    </x:row>
    <x:row r="67" ht="42" customHeight="1">
      <x:c r="A67" s="21" t="str">
        <x:v>ST-066</x:v>
      </x:c>
      <x:c r="B67" s="21" t="str">
        <x:v>Interview</x:v>
      </x:c>
      <x:c r="C67" s="21" t="str">
        <x:v>Other</x:v>
      </x:c>
      <x:c r="D67" s="17" t="str">
        <x:v>AI Industry / Startups</x:v>
      </x:c>
      <x:c r="E67" s="17" t="str">
        <x:v>AI Industry</x:v>
      </x:c>
      <x:c r="F67" s="22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2" t="str">
        <x:v>In-depth Interview</x:v>
      </x:c>
      <x:c r="K67" s="23" t="n">
        <x:v>44</x:v>
      </x:c>
      <x:c r="L67" s="16" t="str">
        <x:v>https://www.youtube.com/watch?v=PtZGHdDdWmY</x:v>
      </x:c>
      <x:c r="M67" s="21" t="str">
        <x:v>YouTube</x:v>
      </x:c>
      <x:c r="N67" s="24" t="n">
        <x:v>1668</x:v>
      </x:c>
      <x:c r="O67" s="22" t="str">
        <x:v>A | Official / Original Creator / Organizer</x:v>
      </x:c>
      <x:c r="P67" s="22" t="str">
        <x:v>Core</x:v>
      </x:c>
      <x:c r="Q67" s="22" t="str">
        <x:v>Verified</x:v>
      </x:c>
      <x:c r="R67" s="25" t="n">
        <x:v>46244</x:v>
      </x:c>
      <x:c r="S67" s="17" t="str">
        <x:v>Matched to the target official channel; public metadata accessible.</x:v>
      </x:c>
      <x:c r="T67" s="16" t="str">
        <x:v>PtZGHdDdWmY</x:v>
      </x:c>
    </x:row>
    <x:row r="68" ht="42" customHeight="1">
      <x:c r="A68" s="21" t="str">
        <x:v>ST-067</x:v>
      </x:c>
      <x:c r="B68" s="21" t="str">
        <x:v>Interview</x:v>
      </x:c>
      <x:c r="C68" s="21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2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2" t="str">
        <x:v>In-depth Interview</x:v>
      </x:c>
      <x:c r="K68" s="23" t="n">
        <x:v>56</x:v>
      </x:c>
      <x:c r="L68" s="16" t="str">
        <x:v>https://www.youtube.com/watch?v=VIZwxufxg28</x:v>
      </x:c>
      <x:c r="M68" s="21" t="str">
        <x:v>YouTube</x:v>
      </x:c>
      <x:c r="N68" s="24" t="n">
        <x:v>5162</x:v>
      </x:c>
      <x:c r="O68" s="22" t="str">
        <x:v>A | Official / Original Creator / Organizer</x:v>
      </x:c>
      <x:c r="P68" s="22" t="str">
        <x:v>Core</x:v>
      </x:c>
      <x:c r="Q68" s="22" t="str">
        <x:v>Verified</x:v>
      </x:c>
      <x:c r="R68" s="25" t="n">
        <x:v>46244</x:v>
      </x:c>
      <x:c r="S68" s="17" t="str">
        <x:v>Matched to the target official channel; public metadata accessible.</x:v>
      </x:c>
      <x:c r="T68" s="16" t="str">
        <x:v>VIZwxufxg28</x:v>
      </x:c>
    </x:row>
    <x:row r="69" ht="42" customHeight="1">
      <x:c r="A69" s="21" t="str">
        <x:v>ST-068</x:v>
      </x:c>
      <x:c r="B69" s="21" t="str">
        <x:v>Interview</x:v>
      </x:c>
      <x:c r="C69" s="21" t="str">
        <x:v>Other</x:v>
      </x:c>
      <x:c r="D69" s="17" t="str">
        <x:v>Machine Learning / Engineering Practice</x:v>
      </x:c>
      <x:c r="E69" s="17" t="str">
        <x:v>Machine Learning</x:v>
      </x:c>
      <x:c r="F69" s="22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2" t="str">
        <x:v>In-depth Interview</x:v>
      </x:c>
      <x:c r="K69" s="23" t="n">
        <x:v>46</x:v>
      </x:c>
      <x:c r="L69" s="16" t="str">
        <x:v>https://www.youtube.com/watch?v=uJ4l0awqAYA</x:v>
      </x:c>
      <x:c r="M69" s="21" t="str">
        <x:v>YouTube</x:v>
      </x:c>
      <x:c r="N69" s="24" t="n">
        <x:v>1627</x:v>
      </x:c>
      <x:c r="O69" s="22" t="str">
        <x:v>A | Official / Original Creator / Organizer</x:v>
      </x:c>
      <x:c r="P69" s="22" t="str">
        <x:v>Core</x:v>
      </x:c>
      <x:c r="Q69" s="22" t="str">
        <x:v>Verified</x:v>
      </x:c>
      <x:c r="R69" s="25" t="n">
        <x:v>46244</x:v>
      </x:c>
      <x:c r="S69" s="17" t="str">
        <x:v>Matched to the target official channel; public metadata accessible.</x:v>
      </x:c>
      <x:c r="T69" s="16" t="str">
        <x:v>uJ4l0awqAYA</x:v>
      </x:c>
    </x:row>
    <x:row r="70" ht="42" customHeight="1">
      <x:c r="A70" s="21" t="str">
        <x:v>ST-069</x:v>
      </x:c>
      <x:c r="B70" s="21" t="str">
        <x:v>Interview</x:v>
      </x:c>
      <x:c r="C70" s="21" t="str">
        <x:v>Agent</x:v>
      </x:c>
      <x:c r="D70" s="17" t="str">
        <x:v>Machine Learning / Engineering Practice</x:v>
      </x:c>
      <x:c r="E70" s="17" t="str">
        <x:v>Generative AI; Agents</x:v>
      </x:c>
      <x:c r="F70" s="22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2" t="str">
        <x:v>In-depth Interview</x:v>
      </x:c>
      <x:c r="K70" s="23" t="n">
        <x:v>51</x:v>
      </x:c>
      <x:c r="L70" s="16" t="str">
        <x:v>https://www.youtube.com/watch?v=Pb_dJ6nUeBE</x:v>
      </x:c>
      <x:c r="M70" s="21" t="str">
        <x:v>YouTube</x:v>
      </x:c>
      <x:c r="N70" s="24" t="n">
        <x:v>2680</x:v>
      </x:c>
      <x:c r="O70" s="22" t="str">
        <x:v>A | Official / Original Creator / Organizer</x:v>
      </x:c>
      <x:c r="P70" s="22" t="str">
        <x:v>Core</x:v>
      </x:c>
      <x:c r="Q70" s="22" t="str">
        <x:v>Verified</x:v>
      </x:c>
      <x:c r="R70" s="25" t="n">
        <x:v>46244</x:v>
      </x:c>
      <x:c r="S70" s="17" t="str">
        <x:v>Matched to the target official channel; public metadata accessible.</x:v>
      </x:c>
      <x:c r="T70" s="16" t="str">
        <x:v>Pb_dJ6nUeBE</x:v>
      </x:c>
    </x:row>
    <x:row r="71" ht="42" customHeight="1">
      <x:c r="A71" s="21" t="str">
        <x:v>ST-070</x:v>
      </x:c>
      <x:c r="B71" s="21" t="str">
        <x:v>Interview</x:v>
      </x:c>
      <x:c r="C71" s="21" t="str">
        <x:v>Other</x:v>
      </x:c>
      <x:c r="D71" s="17" t="str">
        <x:v>AI Industry / Startups</x:v>
      </x:c>
      <x:c r="E71" s="17" t="str">
        <x:v>AI Industry</x:v>
      </x:c>
      <x:c r="F71" s="22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2" t="str">
        <x:v>In-depth Interview</x:v>
      </x:c>
      <x:c r="K71" s="23" t="n">
        <x:v>61</x:v>
      </x:c>
      <x:c r="L71" s="16" t="str">
        <x:v>https://www.youtube.com/watch?v=eTzhu0wEF3o</x:v>
      </x:c>
      <x:c r="M71" s="21" t="str">
        <x:v>YouTube</x:v>
      </x:c>
      <x:c r="N71" s="24" t="n">
        <x:v>3147</x:v>
      </x:c>
      <x:c r="O71" s="22" t="str">
        <x:v>A | Official / Original Creator / Organizer</x:v>
      </x:c>
      <x:c r="P71" s="22" t="str">
        <x:v>Core</x:v>
      </x:c>
      <x:c r="Q71" s="22" t="str">
        <x:v>Verified</x:v>
      </x:c>
      <x:c r="R71" s="25" t="n">
        <x:v>46244</x:v>
      </x:c>
      <x:c r="S71" s="17" t="str">
        <x:v>Matched to the target official channel; public metadata accessible.</x:v>
      </x:c>
      <x:c r="T71" s="16" t="str">
        <x:v>eTzhu0wEF3o</x:v>
      </x:c>
    </x:row>
    <x:row r="72" ht="42" customHeight="1">
      <x:c r="A72" s="21" t="str">
        <x:v>ST-071</x:v>
      </x:c>
      <x:c r="B72" s="21" t="str">
        <x:v>Interview</x:v>
      </x:c>
      <x:c r="C72" s="21" t="str">
        <x:v>Other</x:v>
      </x:c>
      <x:c r="D72" s="17" t="str">
        <x:v>AI Systems / Accelerated Computing</x:v>
      </x:c>
      <x:c r="E72" s="17" t="str">
        <x:v>AI Systems / MLOps</x:v>
      </x:c>
      <x:c r="F72" s="22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2" t="str">
        <x:v>In-depth Interview</x:v>
      </x:c>
      <x:c r="K72" s="23" t="n">
        <x:v>56</x:v>
      </x:c>
      <x:c r="L72" s="16" t="str">
        <x:v>https://www.youtube.com/watch?v=XVoyL8rzhWs</x:v>
      </x:c>
      <x:c r="M72" s="21" t="str">
        <x:v>YouTube</x:v>
      </x:c>
      <x:c r="N72" s="24" t="n">
        <x:v>236923</x:v>
      </x:c>
      <x:c r="O72" s="22" t="str">
        <x:v>B | University / Conference / Institution</x:v>
      </x:c>
      <x:c r="P72" s="22" t="str">
        <x:v>Recommended</x:v>
      </x:c>
      <x:c r="Q72" s="22" t="str">
        <x:v>Verified</x:v>
      </x:c>
      <x:c r="R72" s="25" t="n">
        <x:v>46244</x:v>
      </x:c>
      <x:c r="S72" s="17" t="str">
        <x:v>Title, channel, and public metadata reviewed.</x:v>
      </x:c>
      <x:c r="T72" s="16" t="str">
        <x:v>XVoyL8rzhWs</x:v>
      </x:c>
    </x:row>
    <x:row r="73" ht="42" customHeight="1">
      <x:c r="A73" s="21" t="str">
        <x:v>ST-072</x:v>
      </x:c>
      <x:c r="B73" s="21" t="str">
        <x:v>Interview</x:v>
      </x:c>
      <x:c r="C73" s="21" t="str">
        <x:v>Other</x:v>
      </x:c>
      <x:c r="D73" s="17" t="str">
        <x:v>AI Systems / Accelerated Computing</x:v>
      </x:c>
      <x:c r="E73" s="17" t="str">
        <x:v>AI Systems / MLOps</x:v>
      </x:c>
      <x:c r="F73" s="22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2" t="str">
        <x:v>In-depth Interview</x:v>
      </x:c>
      <x:c r="K73" s="23" t="n">
        <x:v>63</x:v>
      </x:c>
      <x:c r="L73" s="16" t="str">
        <x:v>https://www.youtube.com/watch?v=7ARBJQn6QkM</x:v>
      </x:c>
      <x:c r="M73" s="21" t="str">
        <x:v>YouTube</x:v>
      </x:c>
      <x:c r="N73" s="24" t="n">
        <x:v>5239340</x:v>
      </x:c>
      <x:c r="O73" s="22" t="str">
        <x:v>B | University / Conference / Institution</x:v>
      </x:c>
      <x:c r="P73" s="22" t="str">
        <x:v>Recommended</x:v>
      </x:c>
      <x:c r="Q73" s="22" t="str">
        <x:v>Verified</x:v>
      </x:c>
      <x:c r="R73" s="25" t="n">
        <x:v>46244</x:v>
      </x:c>
      <x:c r="S73" s="17" t="str">
        <x:v>Title, channel, and public metadata reviewed.</x:v>
      </x:c>
      <x:c r="T73" s="16" t="str">
        <x:v>7ARBJQn6QkM</x:v>
      </x:c>
    </x:row>
    <x:row r="74" ht="42" customHeight="1">
      <x:c r="A74" s="21" t="str">
        <x:v>ST-073</x:v>
      </x:c>
      <x:c r="B74" s="21" t="str">
        <x:v>Interview</x:v>
      </x:c>
      <x:c r="C74" s="21" t="str">
        <x:v>Other</x:v>
      </x:c>
      <x:c r="D74" s="17" t="str">
        <x:v>Chinese AI Researchers / Industry</x:v>
      </x:c>
      <x:c r="E74" s="17" t="str">
        <x:v>Large Language Models</x:v>
      </x:c>
      <x:c r="F74" s="22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2" t="str">
        <x:v>Podcast Interview</x:v>
      </x:c>
      <x:c r="K74" s="23" t="n">
        <x:v>70</x:v>
      </x:c>
      <x:c r="L74" s="16" t="str">
        <x:v>https://www.youtube.com/watch?v=s0Pn3GGNUQM</x:v>
      </x:c>
      <x:c r="M74" s="21" t="str">
        <x:v>YouTube</x:v>
      </x:c>
      <x:c r="N74" s="24" t="n">
        <x:v>975</x:v>
      </x:c>
      <x:c r="O74" s="22" t="str">
        <x:v>C | Community Selection</x:v>
      </x:c>
      <x:c r="P74" s="22" t="str">
        <x:v>Recommended</x:v>
      </x:c>
      <x:c r="Q74" s="22" t="str">
        <x:v>Verified</x:v>
      </x:c>
      <x:c r="R74" s="25" t="n">
        <x:v>46244</x:v>
      </x:c>
      <x:c r="S74" s="17" t="str">
        <x:v>Title, channel, and public metadata reviewed.</x:v>
      </x:c>
      <x:c r="T74" s="16" t="str">
        <x:v>s0Pn3GGNUQM</x:v>
      </x:c>
    </x:row>
    <x:row r="75" ht="42" customHeight="1">
      <x:c r="A75" s="21" t="str">
        <x:v>ST-074</x:v>
      </x:c>
      <x:c r="B75" s="21" t="str">
        <x:v>Interview</x:v>
      </x:c>
      <x:c r="C75" s="21" t="str">
        <x:v>World Model</x:v>
      </x:c>
      <x:c r="D75" s="17" t="str">
        <x:v>Chinese AI Researchers / Industry</x:v>
      </x:c>
      <x:c r="E75" s="17" t="str">
        <x:v>Foundation Models / World Models</x:v>
      </x:c>
      <x:c r="F75" s="22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2" t="str">
        <x:v>In-depth Interview</x:v>
      </x:c>
      <x:c r="K75" s="23" t="n">
        <x:v>50</x:v>
      </x:c>
      <x:c r="L75" s="16" t="str">
        <x:v>https://www.youtube.com/watch?v=SYuSZIIYOfI</x:v>
      </x:c>
      <x:c r="M75" s="21" t="str">
        <x:v>YouTube</x:v>
      </x:c>
      <x:c r="N75" s="24" t="n">
        <x:v>326474</x:v>
      </x:c>
      <x:c r="O75" s="22" t="str">
        <x:v>C | Community Selection</x:v>
      </x:c>
      <x:c r="P75" s="22" t="str">
        <x:v>Recommended</x:v>
      </x:c>
      <x:c r="Q75" s="22" t="str">
        <x:v>Verified</x:v>
      </x:c>
      <x:c r="R75" s="25" t="n">
        <x:v>46244</x:v>
      </x:c>
      <x:c r="S75" s="17" t="str">
        <x:v>Title, channel, and public metadata reviewed.</x:v>
      </x:c>
      <x:c r="T75" s="16" t="str">
        <x:v>SYuSZIIYOfI</x:v>
      </x:c>
    </x:row>
    <x:row r="76" ht="42" customHeight="1">
      <x:c r="A76" s="21" t="str">
        <x:v>ST-075</x:v>
      </x:c>
      <x:c r="B76" s="21" t="str">
        <x:v>Interview</x:v>
      </x:c>
      <x:c r="C76" s="21" t="str">
        <x:v>Other</x:v>
      </x:c>
      <x:c r="D76" s="17" t="str">
        <x:v>Chinese AI Researchers / Industry</x:v>
      </x:c>
      <x:c r="E76" s="17" t="str">
        <x:v>Chinese AI Researchers</x:v>
      </x:c>
      <x:c r="F76" s="22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2" t="str">
        <x:v>In-depth Interview</x:v>
      </x:c>
      <x:c r="K76" s="23" t="n">
        <x:v>23</x:v>
      </x:c>
      <x:c r="L76" s="16" t="str">
        <x:v>https://www.youtube.com/watch?v=UndcL0uEmYs</x:v>
      </x:c>
      <x:c r="M76" s="21" t="str">
        <x:v>YouTube</x:v>
      </x:c>
      <x:c r="N76" s="24" t="n">
        <x:v>14239</x:v>
      </x:c>
      <x:c r="O76" s="22" t="str">
        <x:v>C | Community Selection</x:v>
      </x:c>
      <x:c r="P76" s="22" t="str">
        <x:v>Recommended</x:v>
      </x:c>
      <x:c r="Q76" s="22" t="str">
        <x:v>Verified</x:v>
      </x:c>
      <x:c r="R76" s="25" t="n">
        <x:v>46244</x:v>
      </x:c>
      <x:c r="S76" s="17" t="str">
        <x:v>Title, channel, and public metadata reviewed.</x:v>
      </x:c>
      <x:c r="T76" s="16" t="str">
        <x:v>UndcL0uEmYs</x:v>
      </x:c>
    </x:row>
    <x:row r="77" ht="42" customHeight="1">
      <x:c r="A77" s="21" t="str">
        <x:v>ST-076</x:v>
      </x:c>
      <x:c r="B77" s="21" t="str">
        <x:v>Course</x:v>
      </x:c>
      <x:c r="C77" s="21" t="str">
        <x:v>Other</x:v>
      </x:c>
      <x:c r="D77" s="17" t="str">
        <x:v>Machine Learning Foundations</x:v>
      </x:c>
      <x:c r="E77" s="17" t="str">
        <x:v>AI Education</x:v>
      </x:c>
      <x:c r="F77" s="22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2" t="str">
        <x:v>Course Lecture</x:v>
      </x:c>
      <x:c r="K77" s="23" t="n">
        <x:v>75</x:v>
      </x:c>
      <x:c r="L77" s="16" t="str">
        <x:v>https://www.youtube.com/watch?v=jGwO_UgTS7I</x:v>
      </x:c>
      <x:c r="M77" s="21" t="str">
        <x:v>YouTube</x:v>
      </x:c>
      <x:c r="N77" s="24" t="n">
        <x:v>4659331</x:v>
      </x:c>
      <x:c r="O77" s="22" t="str">
        <x:v>A | Official / Original Creator / Organizer</x:v>
      </x:c>
      <x:c r="P77" s="22" t="str">
        <x:v>Core</x:v>
      </x:c>
      <x:c r="Q77" s="22" t="str">
        <x:v>Verified</x:v>
      </x:c>
      <x:c r="R77" s="25" t="n">
        <x:v>46244</x:v>
      </x:c>
      <x:c r="S77" s="17" t="str">
        <x:v>Matched to the target official channel; public metadata accessible.</x:v>
      </x:c>
      <x:c r="T77" s="16" t="str">
        <x:v>jGwO_UgTS7I</x:v>
      </x:c>
    </x:row>
    <x:row r="78" ht="42" customHeight="1">
      <x:c r="A78" s="21" t="str">
        <x:v>ST-077</x:v>
      </x:c>
      <x:c r="B78" s="21" t="str">
        <x:v>Course</x:v>
      </x:c>
      <x:c r="C78" s="21" t="str">
        <x:v>Other</x:v>
      </x:c>
      <x:c r="D78" s="17" t="str">
        <x:v>Machine Learning Foundations</x:v>
      </x:c>
      <x:c r="E78" s="17" t="str">
        <x:v>Large Language Models; AI Education</x:v>
      </x:c>
      <x:c r="F78" s="22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2" t="str">
        <x:v>Specialized Course</x:v>
      </x:c>
      <x:c r="K78" s="23" t="n">
        <x:v>105</x:v>
      </x:c>
      <x:c r="L78" s="16" t="str">
        <x:v>https://www.youtube.com/watch?v=9vM4p9NN0Ts</x:v>
      </x:c>
      <x:c r="M78" s="21" t="str">
        <x:v>YouTube</x:v>
      </x:c>
      <x:c r="N78" s="24" t="n">
        <x:v>2646761</x:v>
      </x:c>
      <x:c r="O78" s="22" t="str">
        <x:v>A | Official / Original Creator / Organizer</x:v>
      </x:c>
      <x:c r="P78" s="22" t="str">
        <x:v>Core</x:v>
      </x:c>
      <x:c r="Q78" s="22" t="str">
        <x:v>Verified</x:v>
      </x:c>
      <x:c r="R78" s="25" t="n">
        <x:v>46244</x:v>
      </x:c>
      <x:c r="S78" s="17" t="str">
        <x:v>Matched to the target official channel; public metadata accessible.</x:v>
      </x:c>
      <x:c r="T78" s="16" t="str">
        <x:v>9vM4p9NN0Ts</x:v>
      </x:c>
    </x:row>
    <x:row r="79" ht="42" customHeight="1">
      <x:c r="A79" s="21" t="str">
        <x:v>ST-078</x:v>
      </x:c>
      <x:c r="B79" s="21" t="str">
        <x:v>Course</x:v>
      </x:c>
      <x:c r="C79" s="21" t="str">
        <x:v>Other</x:v>
      </x:c>
      <x:c r="D79" s="17" t="str">
        <x:v>AI Foundations</x:v>
      </x:c>
      <x:c r="E79" s="17" t="str">
        <x:v>AI Foundations</x:v>
      </x:c>
      <x:c r="F79" s="22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2" t="str">
        <x:v>Course Lecture</x:v>
      </x:c>
      <x:c r="K79" s="23" t="n">
        <x:v>110</x:v>
      </x:c>
      <x:c r="L79" s="16" t="str">
        <x:v>https://www.youtube.com/watch?v=WbzNRTTrX0g</x:v>
      </x:c>
      <x:c r="M79" s="21" t="str">
        <x:v>YouTube</x:v>
      </x:c>
      <x:c r="N79" s="24" t="n">
        <x:v>972699</x:v>
      </x:c>
      <x:c r="O79" s="22" t="str">
        <x:v>A | Official / Original Creator / Organizer</x:v>
      </x:c>
      <x:c r="P79" s="22" t="str">
        <x:v>Core</x:v>
      </x:c>
      <x:c r="Q79" s="22" t="str">
        <x:v>Verified</x:v>
      </x:c>
      <x:c r="R79" s="25" t="n">
        <x:v>46244</x:v>
      </x:c>
      <x:c r="S79" s="17" t="str">
        <x:v>Matched to the target official channel; public metadata accessible.</x:v>
      </x:c>
      <x:c r="T79" s="16" t="str">
        <x:v>WbzNRTTrX0g</x:v>
      </x:c>
    </x:row>
    <x:row r="80" ht="42" customHeight="1">
      <x:c r="A80" s="21" t="str">
        <x:v>ST-079</x:v>
      </x:c>
      <x:c r="B80" s="21" t="str">
        <x:v>Course</x:v>
      </x:c>
      <x:c r="C80" s="21" t="str">
        <x:v>Other</x:v>
      </x:c>
      <x:c r="D80" s="17" t="str">
        <x:v>Natural Language Processing</x:v>
      </x:c>
      <x:c r="E80" s="17" t="str">
        <x:v>Natural Language Processing; AI Education</x:v>
      </x:c>
      <x:c r="F80" s="22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2" t="str">
        <x:v>Course Lecture</x:v>
      </x:c>
      <x:c r="K80" s="23" t="n">
        <x:v>84</x:v>
      </x:c>
      <x:c r="L80" s="16" t="str">
        <x:v>https://www.youtube.com/watch?v=rmVRLeJRkl4</x:v>
      </x:c>
      <x:c r="M80" s="21" t="str">
        <x:v>YouTube</x:v>
      </x:c>
      <x:c r="N80" s="24" t="n">
        <x:v>803065</x:v>
      </x:c>
      <x:c r="O80" s="22" t="str">
        <x:v>A | Official / Original Creator / Organizer</x:v>
      </x:c>
      <x:c r="P80" s="22" t="str">
        <x:v>Core</x:v>
      </x:c>
      <x:c r="Q80" s="22" t="str">
        <x:v>Verified</x:v>
      </x:c>
      <x:c r="R80" s="25" t="n">
        <x:v>46244</x:v>
      </x:c>
      <x:c r="S80" s="17" t="str">
        <x:v>Matched to the target official channel; public metadata accessible.</x:v>
      </x:c>
      <x:c r="T80" s="16" t="str">
        <x:v>rmVRLeJRkl4</x:v>
      </x:c>
    </x:row>
    <x:row r="81" ht="42" customHeight="1">
      <x:c r="A81" s="21" t="str">
        <x:v>ST-080</x:v>
      </x:c>
      <x:c r="B81" s="21" t="str">
        <x:v>Course</x:v>
      </x:c>
      <x:c r="C81" s="21" t="str">
        <x:v>Other</x:v>
      </x:c>
      <x:c r="D81" s="17" t="str">
        <x:v>Reinforcement Learning</x:v>
      </x:c>
      <x:c r="E81" s="17" t="str">
        <x:v>Reinforcement Learning; AI Education</x:v>
      </x:c>
      <x:c r="F81" s="22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2" t="str">
        <x:v>Course Lecture</x:v>
      </x:c>
      <x:c r="K81" s="23" t="n">
        <x:v>66</x:v>
      </x:c>
      <x:c r="L81" s="16" t="str">
        <x:v>https://www.youtube.com/watch?v=FgzM3zpZ55o</x:v>
      </x:c>
      <x:c r="M81" s="21" t="str">
        <x:v>YouTube</x:v>
      </x:c>
      <x:c r="N81" s="24" t="n">
        <x:v>749032</x:v>
      </x:c>
      <x:c r="O81" s="22" t="str">
        <x:v>A | Official / Original Creator / Organizer</x:v>
      </x:c>
      <x:c r="P81" s="22" t="str">
        <x:v>Core</x:v>
      </x:c>
      <x:c r="Q81" s="22" t="str">
        <x:v>Verified</x:v>
      </x:c>
      <x:c r="R81" s="25" t="n">
        <x:v>46244</x:v>
      </x:c>
      <x:c r="S81" s="17" t="str">
        <x:v>Matched to the target official channel; public metadata accessible.</x:v>
      </x:c>
      <x:c r="T81" s="16" t="str">
        <x:v>FgzM3zpZ55o</x:v>
      </x:c>
    </x:row>
    <x:row r="82" ht="42" customHeight="1">
      <x:c r="A82" s="21" t="str">
        <x:v>ST-081</x:v>
      </x:c>
      <x:c r="B82" s="21" t="str">
        <x:v>Course</x:v>
      </x:c>
      <x:c r="C82" s="21" t="str">
        <x:v>Other</x:v>
      </x:c>
      <x:c r="D82" s="17" t="str">
        <x:v>Natural Language Processing</x:v>
      </x:c>
      <x:c r="E82" s="17" t="str">
        <x:v>Natural Language Processing; AI Education</x:v>
      </x:c>
      <x:c r="F82" s="22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2" t="str">
        <x:v>Course Lecture</x:v>
      </x:c>
      <x:c r="K82" s="23" t="n">
        <x:v>82</x:v>
      </x:c>
      <x:c r="L82" s="16" t="str">
        <x:v>https://www.youtube.com/watch?v=8rXD5-xhemo</x:v>
      </x:c>
      <x:c r="M82" s="21" t="str">
        <x:v>YouTube</x:v>
      </x:c>
      <x:c r="N82" s="24" t="n">
        <x:v>835209</x:v>
      </x:c>
      <x:c r="O82" s="22" t="str">
        <x:v>A | Official / Original Creator / Organizer</x:v>
      </x:c>
      <x:c r="P82" s="22" t="str">
        <x:v>Core</x:v>
      </x:c>
      <x:c r="Q82" s="22" t="str">
        <x:v>Verified</x:v>
      </x:c>
      <x:c r="R82" s="25" t="n">
        <x:v>46244</x:v>
      </x:c>
      <x:c r="S82" s="17" t="str">
        <x:v>Matched to the target official channel; public metadata accessible.</x:v>
      </x:c>
      <x:c r="T82" s="16" t="str">
        <x:v>8rXD5-xhemo</x:v>
      </x:c>
    </x:row>
    <x:row r="83" ht="42" customHeight="1">
      <x:c r="A83" s="21" t="str">
        <x:v>ST-082</x:v>
      </x:c>
      <x:c r="B83" s="21" t="str">
        <x:v>Course</x:v>
      </x:c>
      <x:c r="C83" s="21" t="str">
        <x:v>Other</x:v>
      </x:c>
      <x:c r="D83" s="17" t="str">
        <x:v>Transformers / Large Models</x:v>
      </x:c>
      <x:c r="E83" s="17" t="str">
        <x:v>Large Language Models</x:v>
      </x:c>
      <x:c r="F83" s="22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2" t="str">
        <x:v>Specialized Course</x:v>
      </x:c>
      <x:c r="K83" s="23" t="n">
        <x:v>72</x:v>
      </x:c>
      <x:c r="L83" s="16" t="str">
        <x:v>https://www.youtube.com/watch?v=XfpMkf4rD6E</x:v>
      </x:c>
      <x:c r="M83" s="21" t="str">
        <x:v>YouTube</x:v>
      </x:c>
      <x:c r="N83" s="24" t="n">
        <x:v>1009444</x:v>
      </x:c>
      <x:c r="O83" s="22" t="str">
        <x:v>A | Official / Original Creator / Organizer</x:v>
      </x:c>
      <x:c r="P83" s="22" t="str">
        <x:v>Core</x:v>
      </x:c>
      <x:c r="Q83" s="22" t="str">
        <x:v>Verified</x:v>
      </x:c>
      <x:c r="R83" s="25" t="n">
        <x:v>46244</x:v>
      </x:c>
      <x:c r="S83" s="17" t="str">
        <x:v>Matched to the target official channel; public metadata accessible.</x:v>
      </x:c>
      <x:c r="T83" s="16" t="str">
        <x:v>XfpMkf4rD6E</x:v>
      </x:c>
    </x:row>
    <x:row r="84" ht="42" customHeight="1">
      <x:c r="A84" s="21" t="str">
        <x:v>ST-083</x:v>
      </x:c>
      <x:c r="B84" s="21" t="str">
        <x:v>Course</x:v>
      </x:c>
      <x:c r="C84" s="21" t="str">
        <x:v>Vision</x:v>
      </x:c>
      <x:c r="D84" s="17" t="str">
        <x:v>Computer Vision</x:v>
      </x:c>
      <x:c r="E84" s="17" t="str">
        <x:v>Computer Vision; AI Systems / MLOps; AI Education</x:v>
      </x:c>
      <x:c r="F84" s="22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2" t="str">
        <x:v>Course Lecture</x:v>
      </x:c>
      <x:c r="K84" s="23" t="n">
        <x:v>63</x:v>
      </x:c>
      <x:c r="L84" s="16" t="str">
        <x:v>https://www.youtube.com/watch?v=2fq9wYslV0A</x:v>
      </x:c>
      <x:c r="M84" s="21" t="str">
        <x:v>YouTube</x:v>
      </x:c>
      <x:c r="N84" s="24" t="n">
        <x:v>668704</x:v>
      </x:c>
      <x:c r="O84" s="22" t="str">
        <x:v>A | Official / Original Creator / Organizer</x:v>
      </x:c>
      <x:c r="P84" s="22" t="str">
        <x:v>Core</x:v>
      </x:c>
      <x:c r="Q84" s="22" t="str">
        <x:v>Verified</x:v>
      </x:c>
      <x:c r="R84" s="25" t="n">
        <x:v>46244</x:v>
      </x:c>
      <x:c r="S84" s="17" t="str">
        <x:v>Matched to the target official channel; public metadata accessible.</x:v>
      </x:c>
      <x:c r="T84" s="16" t="str">
        <x:v>2fq9wYslV0A</x:v>
      </x:c>
    </x:row>
    <x:row r="85" ht="42" customHeight="1">
      <x:c r="A85" s="21" t="str">
        <x:v>ST-084</x:v>
      </x:c>
      <x:c r="B85" s="21" t="str">
        <x:v>Course</x:v>
      </x:c>
      <x:c r="C85" s="21" t="str">
        <x:v>Other</x:v>
      </x:c>
      <x:c r="D85" s="17" t="str">
        <x:v>Natural Language Processing</x:v>
      </x:c>
      <x:c r="E85" s="17" t="str">
        <x:v>Natural Language Processing; AI Education</x:v>
      </x:c>
      <x:c r="F85" s="22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2" t="str">
        <x:v>Course Lecture</x:v>
      </x:c>
      <x:c r="K85" s="23" t="n">
        <x:v>80</x:v>
      </x:c>
      <x:c r="L85" s="16" t="str">
        <x:v>https://www.youtube.com/watch?v=DzpHeXVSC5I</x:v>
      </x:c>
      <x:c r="M85" s="21" t="str">
        <x:v>YouTube</x:v>
      </x:c>
      <x:c r="N85" s="24" t="n">
        <x:v>237135</x:v>
      </x:c>
      <x:c r="O85" s="22" t="str">
        <x:v>A | Official / Original Creator / Organizer</x:v>
      </x:c>
      <x:c r="P85" s="22" t="str">
        <x:v>Core</x:v>
      </x:c>
      <x:c r="Q85" s="22" t="str">
        <x:v>Verified</x:v>
      </x:c>
      <x:c r="R85" s="25" t="n">
        <x:v>46244</x:v>
      </x:c>
      <x:c r="S85" s="17" t="str">
        <x:v>Matched to the target official channel; public metadata accessible.</x:v>
      </x:c>
      <x:c r="T85" s="16" t="str">
        <x:v>DzpHeXVSC5I</x:v>
      </x:c>
    </x:row>
    <x:row r="86" ht="42" customHeight="1">
      <x:c r="A86" s="21" t="str">
        <x:v>ST-085</x:v>
      </x:c>
      <x:c r="B86" s="21" t="str">
        <x:v>Course</x:v>
      </x:c>
      <x:c r="C86" s="21" t="str">
        <x:v>Other</x:v>
      </x:c>
      <x:c r="D86" s="17" t="str">
        <x:v>Machine Learning Foundations</x:v>
      </x:c>
      <x:c r="E86" s="17" t="str">
        <x:v>AI Education</x:v>
      </x:c>
      <x:c r="F86" s="22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2" t="str">
        <x:v>Course Lecture</x:v>
      </x:c>
      <x:c r="K86" s="23" t="n">
        <x:v>79</x:v>
      </x:c>
      <x:c r="L86" s="16" t="str">
        <x:v>https://www.youtube.com/watch?v=Bl4Feh_Mjvo</x:v>
      </x:c>
      <x:c r="M86" s="21" t="str">
        <x:v>YouTube</x:v>
      </x:c>
      <x:c r="N86" s="24" t="n">
        <x:v>396290</x:v>
      </x:c>
      <x:c r="O86" s="22" t="str">
        <x:v>A | Official / Original Creator / Organizer</x:v>
      </x:c>
      <x:c r="P86" s="22" t="str">
        <x:v>Core</x:v>
      </x:c>
      <x:c r="Q86" s="22" t="str">
        <x:v>Verified</x:v>
      </x:c>
      <x:c r="R86" s="25" t="n">
        <x:v>46244</x:v>
      </x:c>
      <x:c r="S86" s="17" t="str">
        <x:v>Matched to the target official channel; public metadata accessible.</x:v>
      </x:c>
      <x:c r="T86" s="16" t="str">
        <x:v>Bl4Feh_Mjvo</x:v>
      </x:c>
    </x:row>
    <x:row r="87" ht="42" customHeight="1">
      <x:c r="A87" s="21" t="str">
        <x:v>ST-086</x:v>
      </x:c>
      <x:c r="B87" s="21" t="str">
        <x:v>Course</x:v>
      </x:c>
      <x:c r="C87" s="21" t="str">
        <x:v>Other</x:v>
      </x:c>
      <x:c r="D87" s="17" t="str">
        <x:v>AI Foundations</x:v>
      </x:c>
      <x:c r="E87" s="17" t="str">
        <x:v>AI Foundations</x:v>
      </x:c>
      <x:c r="F87" s="22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2" t="str">
        <x:v>Course Lecture</x:v>
      </x:c>
      <x:c r="K87" s="23" t="n">
        <x:v>108</x:v>
      </x:c>
      <x:c r="L87" s="16" t="str">
        <x:v>https://www.youtube.com/watch?v=HWQLez87vqM</x:v>
      </x:c>
      <x:c r="M87" s="21" t="str">
        <x:v>YouTube</x:v>
      </x:c>
      <x:c r="N87" s="24" t="n">
        <x:v>385718</x:v>
      </x:c>
      <x:c r="O87" s="22" t="str">
        <x:v>A | Official / Original Creator / Organizer</x:v>
      </x:c>
      <x:c r="P87" s="22" t="str">
        <x:v>Core</x:v>
      </x:c>
      <x:c r="Q87" s="22" t="str">
        <x:v>Verified</x:v>
      </x:c>
      <x:c r="R87" s="25" t="n">
        <x:v>46244</x:v>
      </x:c>
      <x:c r="S87" s="17" t="str">
        <x:v>Matched to the target official channel; public metadata accessible.</x:v>
      </x:c>
      <x:c r="T87" s="16" t="str">
        <x:v>HWQLez87vqM</x:v>
      </x:c>
    </x:row>
    <x:row r="88" ht="42" customHeight="1">
      <x:c r="A88" s="21" t="str">
        <x:v>ST-087</x:v>
      </x:c>
      <x:c r="B88" s="21" t="str">
        <x:v>Course</x:v>
      </x:c>
      <x:c r="C88" s="21" t="str">
        <x:v>Other</x:v>
      </x:c>
      <x:c r="D88" s="17" t="str">
        <x:v>Reinforcement Learning</x:v>
      </x:c>
      <x:c r="E88" s="17" t="str">
        <x:v>Reinforcement Learning; AI Education</x:v>
      </x:c>
      <x:c r="F88" s="22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2" t="str">
        <x:v>Course Lecture</x:v>
      </x:c>
      <x:c r="K88" s="23" t="n">
        <x:v>79</x:v>
      </x:c>
      <x:c r="L88" s="16" t="str">
        <x:v>https://www.youtube.com/watch?v=WsvFL-LjA6U</x:v>
      </x:c>
      <x:c r="M88" s="21" t="str">
        <x:v>YouTube</x:v>
      </x:c>
      <x:c r="N88" s="24" t="n">
        <x:v>170685</x:v>
      </x:c>
      <x:c r="O88" s="22" t="str">
        <x:v>A | Official / Original Creator / Organizer</x:v>
      </x:c>
      <x:c r="P88" s="22" t="str">
        <x:v>Core</x:v>
      </x:c>
      <x:c r="Q88" s="22" t="str">
        <x:v>Verified</x:v>
      </x:c>
      <x:c r="R88" s="25" t="n">
        <x:v>46244</x:v>
      </x:c>
      <x:c r="S88" s="17" t="str">
        <x:v>Matched to the target official channel; public metadata accessible.</x:v>
      </x:c>
      <x:c r="T88" s="16" t="str">
        <x:v>WsvFL-LjA6U</x:v>
      </x:c>
    </x:row>
    <x:row r="89" ht="42" customHeight="1">
      <x:c r="A89" s="21" t="str">
        <x:v>ST-088</x:v>
      </x:c>
      <x:c r="B89" s="21" t="str">
        <x:v>Course</x:v>
      </x:c>
      <x:c r="C89" s="21" t="str">
        <x:v>Other</x:v>
      </x:c>
      <x:c r="D89" s="17" t="str">
        <x:v>AI Foundations</x:v>
      </x:c>
      <x:c r="E89" s="17" t="str">
        <x:v>AI Foundations</x:v>
      </x:c>
      <x:c r="F89" s="22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2" t="str">
        <x:v>Specialized Course</x:v>
      </x:c>
      <x:c r="K89" s="23" t="n">
        <x:v>48</x:v>
      </x:c>
      <x:c r="L89" s="16" t="str">
        <x:v>https://www.youtube.com/watch?v=-9bo8HlSxwQ</x:v>
      </x:c>
      <x:c r="M89" s="21" t="str">
        <x:v>YouTube</x:v>
      </x:c>
      <x:c r="N89" s="24" t="n">
        <x:v>263428</x:v>
      </x:c>
      <x:c r="O89" s="22" t="str">
        <x:v>A | Official / Original Creator / Organizer</x:v>
      </x:c>
      <x:c r="P89" s="22" t="str">
        <x:v>Core</x:v>
      </x:c>
      <x:c r="Q89" s="22" t="str">
        <x:v>Verified</x:v>
      </x:c>
      <x:c r="R89" s="25" t="n">
        <x:v>46244</x:v>
      </x:c>
      <x:c r="S89" s="17" t="str">
        <x:v>Matched to the target official channel; public metadata accessible.</x:v>
      </x:c>
      <x:c r="T89" s="16" t="str">
        <x:v>-9bo8HlSxwQ</x:v>
      </x:c>
    </x:row>
    <x:row r="90" ht="42" customHeight="1">
      <x:c r="A90" s="21" t="str">
        <x:v>ST-089</x:v>
      </x:c>
      <x:c r="B90" s="21" t="str">
        <x:v>Course</x:v>
      </x:c>
      <x:c r="C90" s="21" t="str">
        <x:v>Other</x:v>
      </x:c>
      <x:c r="D90" s="17" t="str">
        <x:v>Transformers / Large Models</x:v>
      </x:c>
      <x:c r="E90" s="17" t="str">
        <x:v>Large Language Models; Multimodal Learning</x:v>
      </x:c>
      <x:c r="F90" s="22" t="str">
        <x:v>English</x:v>
      </x:c>
      <x:c r="G90" s="17" t="str">
        <x:v>Stanford CS25: Transformers United V6 I From Language Models to Native Multimodal Intelligence</x:v>
      </x:c>
      <x:c r="H90" s="17" t="str">
        <x:v>Stanford guest speakers</x:v>
      </x:c>
      <x:c r="I90" s="17" t="str">
        <x:v>Stanford Online</x:v>
      </x:c>
      <x:c r="J90" s="22" t="str">
        <x:v>Specialized Course</x:v>
      </x:c>
      <x:c r="K90" s="23" t="n">
        <x:v>65</x:v>
      </x:c>
      <x:c r="L90" s="16" t="str">
        <x:v>https://www.youtube.com/watch?v=NDdc39KYqDU</x:v>
      </x:c>
      <x:c r="M90" s="21" t="str">
        <x:v>YouTube</x:v>
      </x:c>
      <x:c r="N90" s="24" t="n">
        <x:v>113596</x:v>
      </x:c>
      <x:c r="O90" s="22" t="str">
        <x:v>A | Official / Original Creator / Organizer</x:v>
      </x:c>
      <x:c r="P90" s="22" t="str">
        <x:v>Core</x:v>
      </x:c>
      <x:c r="Q90" s="22" t="str">
        <x:v>Verified</x:v>
      </x:c>
      <x:c r="R90" s="25" t="n">
        <x:v>46244</x:v>
      </x:c>
      <x:c r="S90" s="17" t="str">
        <x:v>Matched to the target official channel; public metadata accessible.</x:v>
      </x:c>
      <x:c r="T90" s="16" t="str">
        <x:v>NDdc39KYqDU</x:v>
      </x:c>
    </x:row>
    <x:row r="91" ht="42" customHeight="1">
      <x:c r="A91" s="21" t="str">
        <x:v>ST-090</x:v>
      </x:c>
      <x:c r="B91" s="21" t="str">
        <x:v>Course</x:v>
      </x:c>
      <x:c r="C91" s="21" t="str">
        <x:v>Other</x:v>
      </x:c>
      <x:c r="D91" s="17" t="str">
        <x:v>AI Foundations</x:v>
      </x:c>
      <x:c r="E91" s="17" t="str">
        <x:v>AI Foundations</x:v>
      </x:c>
      <x:c r="F91" s="22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2" t="str">
        <x:v>Course Lecture</x:v>
      </x:c>
      <x:c r="K91" s="23" t="n">
        <x:v>101</x:v>
      </x:c>
      <x:c r="L91" s="16" t="str">
        <x:v>https://www.youtube.com/watch?v=J1QD9hLDEDY</x:v>
      </x:c>
      <x:c r="M91" s="21" t="str">
        <x:v>YouTube</x:v>
      </x:c>
      <x:c r="N91" s="24" t="n">
        <x:v>179432</x:v>
      </x:c>
      <x:c r="O91" s="22" t="str">
        <x:v>A | Official / Original Creator / Organizer</x:v>
      </x:c>
      <x:c r="P91" s="22" t="str">
        <x:v>Core</x:v>
      </x:c>
      <x:c r="Q91" s="22" t="str">
        <x:v>Verified</x:v>
      </x:c>
      <x:c r="R91" s="25" t="n">
        <x:v>46244</x:v>
      </x:c>
      <x:c r="S91" s="17" t="str">
        <x:v>Matched to the target official channel; public metadata accessible.</x:v>
      </x:c>
      <x:c r="T91" s="16" t="str">
        <x:v>J1QD9hLDEDY</x:v>
      </x:c>
    </x:row>
    <x:row r="92" ht="42" customHeight="1">
      <x:c r="A92" s="21" t="str">
        <x:v>ST-091</x:v>
      </x:c>
      <x:c r="B92" s="21" t="str">
        <x:v>Course</x:v>
      </x:c>
      <x:c r="C92" s="21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2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2" t="str">
        <x:v>Specialized Course</x:v>
      </x:c>
      <x:c r="K92" s="23" t="n">
        <x:v>23</x:v>
      </x:c>
      <x:c r="L92" s="16" t="str">
        <x:v>https://www.youtube.com/watch?v=P127jhj-8-Y</x:v>
      </x:c>
      <x:c r="M92" s="21" t="str">
        <x:v>YouTube</x:v>
      </x:c>
      <x:c r="N92" s="24" t="n">
        <x:v>196054</x:v>
      </x:c>
      <x:c r="O92" s="22" t="str">
        <x:v>A | Official / Original Creator / Organizer</x:v>
      </x:c>
      <x:c r="P92" s="22" t="str">
        <x:v>Core</x:v>
      </x:c>
      <x:c r="Q92" s="22" t="str">
        <x:v>Verified</x:v>
      </x:c>
      <x:c r="R92" s="25" t="n">
        <x:v>46244</x:v>
      </x:c>
      <x:c r="S92" s="17" t="str">
        <x:v>Matched to the target official channel; public metadata accessible.</x:v>
      </x:c>
      <x:c r="T92" s="16" t="str">
        <x:v>P127jhj-8-Y</x:v>
      </x:c>
    </x:row>
    <x:row r="93" ht="42" customHeight="1">
      <x:c r="A93" s="21" t="str">
        <x:v>ST-092</x:v>
      </x:c>
      <x:c r="B93" s="21" t="str">
        <x:v>Course</x:v>
      </x:c>
      <x:c r="C93" s="21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2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2" t="str">
        <x:v>Course Lecture</x:v>
      </x:c>
      <x:c r="K93" s="23" t="n">
        <x:v>102</x:v>
      </x:c>
      <x:c r="L93" s="16" t="str">
        <x:v>https://www.youtube.com/watch?v=Ub3GoFaUcds</x:v>
      </x:c>
      <x:c r="M93" s="21" t="str">
        <x:v>YouTube</x:v>
      </x:c>
      <x:c r="N93" s="24" t="n">
        <x:v>907864</x:v>
      </x:c>
      <x:c r="O93" s="22" t="str">
        <x:v>A | Official / Original Creator / Organizer</x:v>
      </x:c>
      <x:c r="P93" s="22" t="str">
        <x:v>Core</x:v>
      </x:c>
      <x:c r="Q93" s="22" t="str">
        <x:v>Verified</x:v>
      </x:c>
      <x:c r="R93" s="25" t="n">
        <x:v>46244</x:v>
      </x:c>
      <x:c r="S93" s="17" t="str">
        <x:v>Matched to the target official channel; public metadata accessible.</x:v>
      </x:c>
      <x:c r="T93" s="16" t="str">
        <x:v>Ub3GoFaUcds</x:v>
      </x:c>
    </x:row>
    <x:row r="94" ht="42" customHeight="1">
      <x:c r="A94" s="21" t="str">
        <x:v>ST-093</x:v>
      </x:c>
      <x:c r="B94" s="21" t="str">
        <x:v>Course</x:v>
      </x:c>
      <x:c r="C94" s="21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2" t="str">
        <x:v>English</x:v>
      </x:c>
      <x:c r="G94" s="17" t="str">
        <x:v>Stanford CS25: Transformers United V6 I From Representation Learning to World Modeling</x:v>
      </x:c>
      <x:c r="H94" s="17" t="str">
        <x:v>Stanford guest speakers</x:v>
      </x:c>
      <x:c r="I94" s="17" t="str">
        <x:v>Stanford Online</x:v>
      </x:c>
      <x:c r="J94" s="22" t="str">
        <x:v>Specialized Course</x:v>
      </x:c>
      <x:c r="K94" s="23" t="n">
        <x:v>71</x:v>
      </x:c>
      <x:c r="L94" s="16" t="str">
        <x:v>https://www.youtube.com/watch?v=GBd7iuJkW08</x:v>
      </x:c>
      <x:c r="M94" s="21" t="str">
        <x:v>YouTube</x:v>
      </x:c>
      <x:c r="N94" s="24" t="n">
        <x:v>97183</x:v>
      </x:c>
      <x:c r="O94" s="22" t="str">
        <x:v>A | Official / Original Creator / Organizer</x:v>
      </x:c>
      <x:c r="P94" s="22" t="str">
        <x:v>Core</x:v>
      </x:c>
      <x:c r="Q94" s="22" t="str">
        <x:v>Verified</x:v>
      </x:c>
      <x:c r="R94" s="25" t="n">
        <x:v>46244</x:v>
      </x:c>
      <x:c r="S94" s="17" t="str">
        <x:v>Matched to the target official channel; public metadata accessible.</x:v>
      </x:c>
      <x:c r="T94" s="16" t="str">
        <x:v>GBd7iuJkW08</x:v>
      </x:c>
    </x:row>
    <x:row r="95" ht="42" customHeight="1">
      <x:c r="A95" s="21" t="str">
        <x:v>ST-094</x:v>
      </x:c>
      <x:c r="B95" s="21" t="str">
        <x:v>Course</x:v>
      </x:c>
      <x:c r="C95" s="21" t="str">
        <x:v>Other</x:v>
      </x:c>
      <x:c r="D95" s="17" t="str">
        <x:v>Machine Learning Foundations</x:v>
      </x:c>
      <x:c r="E95" s="17" t="str">
        <x:v>AI Education</x:v>
      </x:c>
      <x:c r="F95" s="22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2" t="str">
        <x:v>Course Lecture</x:v>
      </x:c>
      <x:c r="K95" s="23" t="n">
        <x:v>80</x:v>
      </x:c>
      <x:c r="L95" s="16" t="str">
        <x:v>https://www.youtube.com/watch?v=MfIjxPh6Pys</x:v>
      </x:c>
      <x:c r="M95" s="21" t="str">
        <x:v>YouTube</x:v>
      </x:c>
      <x:c r="N95" s="24" t="n">
        <x:v>304771</x:v>
      </x:c>
      <x:c r="O95" s="22" t="str">
        <x:v>A | Official / Original Creator / Organizer</x:v>
      </x:c>
      <x:c r="P95" s="22" t="str">
        <x:v>Core</x:v>
      </x:c>
      <x:c r="Q95" s="22" t="str">
        <x:v>Verified</x:v>
      </x:c>
      <x:c r="R95" s="25" t="n">
        <x:v>46244</x:v>
      </x:c>
      <x:c r="S95" s="17" t="str">
        <x:v>Matched to the target official channel; public metadata accessible.</x:v>
      </x:c>
      <x:c r="T95" s="16" t="str">
        <x:v>MfIjxPh6Pys</x:v>
      </x:c>
    </x:row>
    <x:row r="96" ht="42" customHeight="1">
      <x:c r="A96" s="21" t="str">
        <x:v>ST-095</x:v>
      </x:c>
      <x:c r="B96" s="21" t="str">
        <x:v>Course</x:v>
      </x:c>
      <x:c r="C96" s="21" t="str">
        <x:v>Other</x:v>
      </x:c>
      <x:c r="D96" s="17" t="str">
        <x:v>AI Foundations</x:v>
      </x:c>
      <x:c r="E96" s="17" t="str">
        <x:v>AI Foundations</x:v>
      </x:c>
      <x:c r="F96" s="22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2" t="str">
        <x:v>Course Lecture</x:v>
      </x:c>
      <x:c r="K96" s="23" t="n">
        <x:v>115</x:v>
      </x:c>
      <x:c r="L96" s="16" t="str">
        <x:v>https://www.youtube.com/watch?v=D8RRq3TbtHU</x:v>
      </x:c>
      <x:c r="M96" s="21" t="str">
        <x:v>YouTube</x:v>
      </x:c>
      <x:c r="N96" s="24" t="n">
        <x:v>242930</x:v>
      </x:c>
      <x:c r="O96" s="22" t="str">
        <x:v>A | Official / Original Creator / Organizer</x:v>
      </x:c>
      <x:c r="P96" s="22" t="str">
        <x:v>Core</x:v>
      </x:c>
      <x:c r="Q96" s="22" t="str">
        <x:v>Verified</x:v>
      </x:c>
      <x:c r="R96" s="25" t="n">
        <x:v>46244</x:v>
      </x:c>
      <x:c r="S96" s="17" t="str">
        <x:v>Matched to the target official channel; public metadata accessible.</x:v>
      </x:c>
      <x:c r="T96" s="16" t="str">
        <x:v>D8RRq3TbtHU</x:v>
      </x:c>
    </x:row>
    <x:row r="97" ht="42" customHeight="1">
      <x:c r="A97" s="21" t="str">
        <x:v>ST-096</x:v>
      </x:c>
      <x:c r="B97" s="21" t="str">
        <x:v>Course</x:v>
      </x:c>
      <x:c r="C97" s="21" t="str">
        <x:v>Other</x:v>
      </x:c>
      <x:c r="D97" s="17" t="str">
        <x:v>Machine Learning Foundations</x:v>
      </x:c>
      <x:c r="E97" s="17" t="str">
        <x:v>AI Education</x:v>
      </x:c>
      <x:c r="F97" s="22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2" t="str">
        <x:v>Course Lecture</x:v>
      </x:c>
      <x:c r="K97" s="23" t="n">
        <x:v>80</x:v>
      </x:c>
      <x:c r="L97" s="16" t="str">
        <x:v>https://www.youtube.com/watch?v=het9HFqo1TQ</x:v>
      </x:c>
      <x:c r="M97" s="21" t="str">
        <x:v>YouTube</x:v>
      </x:c>
      <x:c r="N97" s="24" t="n">
        <x:v>897241</x:v>
      </x:c>
      <x:c r="O97" s="22" t="str">
        <x:v>A | Official / Original Creator / Organizer</x:v>
      </x:c>
      <x:c r="P97" s="22" t="str">
        <x:v>Core</x:v>
      </x:c>
      <x:c r="Q97" s="22" t="str">
        <x:v>Verified</x:v>
      </x:c>
      <x:c r="R97" s="25" t="n">
        <x:v>46244</x:v>
      </x:c>
      <x:c r="S97" s="17" t="str">
        <x:v>Matched to the target official channel; public metadata accessible.</x:v>
      </x:c>
      <x:c r="T97" s="16" t="str">
        <x:v>het9HFqo1TQ</x:v>
      </x:c>
    </x:row>
    <x:row r="98" ht="42" customHeight="1">
      <x:c r="A98" s="21" t="str">
        <x:v>ST-097</x:v>
      </x:c>
      <x:c r="B98" s="21" t="str">
        <x:v>Course</x:v>
      </x:c>
      <x:c r="C98" s="21" t="str">
        <x:v>Other</x:v>
      </x:c>
      <x:c r="D98" s="17" t="str">
        <x:v>Reinforcement Learning</x:v>
      </x:c>
      <x:c r="E98" s="17" t="str">
        <x:v>Reinforcement Learning; AI Education</x:v>
      </x:c>
      <x:c r="F98" s="22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2" t="str">
        <x:v>Course Lecture</x:v>
      </x:c>
      <x:c r="K98" s="23" t="n">
        <x:v>73</x:v>
      </x:c>
      <x:c r="L98" s="16" t="str">
        <x:v>https://www.youtube.com/watch?v=gHdsUUGcBC0</x:v>
      </x:c>
      <x:c r="M98" s="21" t="str">
        <x:v>YouTube</x:v>
      </x:c>
      <x:c r="N98" s="24" t="n">
        <x:v>59351</x:v>
      </x:c>
      <x:c r="O98" s="22" t="str">
        <x:v>A | Official / Original Creator / Organizer</x:v>
      </x:c>
      <x:c r="P98" s="22" t="str">
        <x:v>Core</x:v>
      </x:c>
      <x:c r="Q98" s="22" t="str">
        <x:v>Verified</x:v>
      </x:c>
      <x:c r="R98" s="25" t="n">
        <x:v>46244</x:v>
      </x:c>
      <x:c r="S98" s="17" t="str">
        <x:v>Matched to the target official channel; public metadata accessible.</x:v>
      </x:c>
      <x:c r="T98" s="16" t="str">
        <x:v>gHdsUUGcBC0</x:v>
      </x:c>
    </x:row>
    <x:row r="99" ht="42" customHeight="1">
      <x:c r="A99" s="21" t="str">
        <x:v>ST-098</x:v>
      </x:c>
      <x:c r="B99" s="21" t="str">
        <x:v>Course</x:v>
      </x:c>
      <x:c r="C99" s="21" t="str">
        <x:v>Vision</x:v>
      </x:c>
      <x:c r="D99" s="17" t="str">
        <x:v>Computer Vision</x:v>
      </x:c>
      <x:c r="E99" s="17" t="str">
        <x:v>Computer Vision</x:v>
      </x:c>
      <x:c r="F99" s="22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2" t="str">
        <x:v>Course Lecture</x:v>
      </x:c>
      <x:c r="K99" s="23" t="n">
        <x:v>69</x:v>
      </x:c>
      <x:c r="L99" s="16" t="str">
        <x:v>https://www.youtube.com/watch?v=dyNGd06MWn4</x:v>
      </x:c>
      <x:c r="M99" s="21" t="str">
        <x:v>YouTube</x:v>
      </x:c>
      <x:c r="N99" s="24" t="n">
        <x:v>73231</x:v>
      </x:c>
      <x:c r="O99" s="22" t="str">
        <x:v>A | Official / Original Creator / Organizer</x:v>
      </x:c>
      <x:c r="P99" s="22" t="str">
        <x:v>Core</x:v>
      </x:c>
      <x:c r="Q99" s="22" t="str">
        <x:v>Verified</x:v>
      </x:c>
      <x:c r="R99" s="25" t="n">
        <x:v>46244</x:v>
      </x:c>
      <x:c r="S99" s="17" t="str">
        <x:v>Matched to the target official channel; public metadata accessible.</x:v>
      </x:c>
      <x:c r="T99" s="16" t="str">
        <x:v>dyNGd06MWn4</x:v>
      </x:c>
    </x:row>
    <x:row r="100" ht="42" customHeight="1">
      <x:c r="A100" s="21" t="str">
        <x:v>ST-099</x:v>
      </x:c>
      <x:c r="B100" s="21" t="str">
        <x:v>Course</x:v>
      </x:c>
      <x:c r="C100" s="21" t="str">
        <x:v>Other</x:v>
      </x:c>
      <x:c r="D100" s="17" t="str">
        <x:v>Reinforcement Learning</x:v>
      </x:c>
      <x:c r="E100" s="17" t="str">
        <x:v>Reinforcement Learning; AI Education</x:v>
      </x:c>
      <x:c r="F100" s="22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2" t="str">
        <x:v>Course Lecture</x:v>
      </x:c>
      <x:c r="K100" s="23" t="n">
        <x:v>73</x:v>
      </x:c>
      <x:c r="L100" s="16" t="str">
        <x:v>https://www.youtube.com/watch?v=dRIhrn8cc9w</x:v>
      </x:c>
      <x:c r="M100" s="21" t="str">
        <x:v>YouTube</x:v>
      </x:c>
      <x:c r="N100" s="24" t="n">
        <x:v>126946</x:v>
      </x:c>
      <x:c r="O100" s="22" t="str">
        <x:v>A | Official / Original Creator / Organizer</x:v>
      </x:c>
      <x:c r="P100" s="22" t="str">
        <x:v>Core</x:v>
      </x:c>
      <x:c r="Q100" s="22" t="str">
        <x:v>Verified</x:v>
      </x:c>
      <x:c r="R100" s="25" t="n">
        <x:v>46244</x:v>
      </x:c>
      <x:c r="S100" s="17" t="str">
        <x:v>Matched to the target official channel; public metadata accessible.</x:v>
      </x:c>
      <x:c r="T100" s="16" t="str">
        <x:v>dRIhrn8cc9w</x:v>
      </x:c>
    </x:row>
    <x:row r="101" ht="42" customHeight="1">
      <x:c r="A101" s="21" t="str">
        <x:v>ST-100</x:v>
      </x:c>
      <x:c r="B101" s="21" t="str">
        <x:v>Course</x:v>
      </x:c>
      <x:c r="C101" s="21" t="str">
        <x:v>Vision</x:v>
      </x:c>
      <x:c r="D101" s="17" t="str">
        <x:v>Computer Vision</x:v>
      </x:c>
      <x:c r="E101" s="17" t="str">
        <x:v>Computer Vision; AI Systems / MLOps; AI Education</x:v>
      </x:c>
      <x:c r="F101" s="22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2" t="str">
        <x:v>Course Lecture</x:v>
      </x:c>
      <x:c r="K101" s="23" t="n">
        <x:v>71</x:v>
      </x:c>
      <x:c r="L101" s="16" t="str">
        <x:v>https://www.youtube.com/watch?v=aVJy4O5TOk8</x:v>
      </x:c>
      <x:c r="M101" s="21" t="str">
        <x:v>YouTube</x:v>
      </x:c>
      <x:c r="N101" s="24" t="n">
        <x:v>44216</x:v>
      </x:c>
      <x:c r="O101" s="22" t="str">
        <x:v>A | Official / Original Creator / Organizer</x:v>
      </x:c>
      <x:c r="P101" s="22" t="str">
        <x:v>Core</x:v>
      </x:c>
      <x:c r="Q101" s="22" t="str">
        <x:v>Verified</x:v>
      </x:c>
      <x:c r="R101" s="25" t="n">
        <x:v>46244</x:v>
      </x:c>
      <x:c r="S101" s="17" t="str">
        <x:v>Matched to the target official channel; public metadata accessible.</x:v>
      </x:c>
      <x:c r="T101" s="16" t="str">
        <x:v>aVJy4O5TOk8</x:v>
      </x:c>
    </x:row>
    <x:row r="102" ht="42" customHeight="1">
      <x:c r="A102" s="21" t="str">
        <x:v>ST-101</x:v>
      </x:c>
      <x:c r="B102" s="21" t="str">
        <x:v>Course</x:v>
      </x:c>
      <x:c r="C102" s="21" t="str">
        <x:v>Other</x:v>
      </x:c>
      <x:c r="D102" s="17" t="str">
        <x:v>Transformers / Large Models</x:v>
      </x:c>
      <x:c r="E102" s="17" t="str">
        <x:v>Large Language Models</x:v>
      </x:c>
      <x:c r="F102" s="22" t="str">
        <x:v>English</x:v>
      </x:c>
      <x:c r="G102" s="17" t="str">
        <x:v>Stanford CS25: Transformers United V6 I Overview of Transformers</x:v>
      </x:c>
      <x:c r="H102" s="17" t="str">
        <x:v>Stanford guest speakers</x:v>
      </x:c>
      <x:c r="I102" s="17" t="str">
        <x:v>Stanford Online</x:v>
      </x:c>
      <x:c r="J102" s="22" t="str">
        <x:v>Specialized Course</x:v>
      </x:c>
      <x:c r="K102" s="23" t="n">
        <x:v>77</x:v>
      </x:c>
      <x:c r="L102" s="16" t="str">
        <x:v>https://www.youtube.com/watch?v=bHSDPgZYie0</x:v>
      </x:c>
      <x:c r="M102" s="21" t="str">
        <x:v>YouTube</x:v>
      </x:c>
      <x:c r="N102" s="24" t="n">
        <x:v>10108</x:v>
      </x:c>
      <x:c r="O102" s="22" t="str">
        <x:v>A | Official / Original Creator / Organizer</x:v>
      </x:c>
      <x:c r="P102" s="22" t="str">
        <x:v>Core</x:v>
      </x:c>
      <x:c r="Q102" s="22" t="str">
        <x:v>Verified</x:v>
      </x:c>
      <x:c r="R102" s="25" t="n">
        <x:v>46244</x:v>
      </x:c>
      <x:c r="S102" s="17" t="str">
        <x:v>Matched to the target official channel; public metadata accessible.</x:v>
      </x:c>
      <x:c r="T102" s="16" t="str">
        <x:v>bHSDPgZYie0</x:v>
      </x:c>
    </x:row>
    <x:row r="103" ht="42" customHeight="1">
      <x:c r="A103" s="21" t="str">
        <x:v>ST-102</x:v>
      </x:c>
      <x:c r="B103" s="21" t="str">
        <x:v>Course</x:v>
      </x:c>
      <x:c r="C103" s="21" t="str">
        <x:v>Other</x:v>
      </x:c>
      <x:c r="D103" s="17" t="str">
        <x:v>Reinforcement Learning</x:v>
      </x:c>
      <x:c r="E103" s="17" t="str">
        <x:v>Reinforcement Learning; AI Education</x:v>
      </x:c>
      <x:c r="F103" s="22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2" t="str">
        <x:v>Course Lecture</x:v>
      </x:c>
      <x:c r="K103" s="23" t="n">
        <x:v>79</x:v>
      </x:c>
      <x:c r="L103" s="16" t="str">
        <x:v>https://www.youtube.com/watch?v=b_wvosA70f8</x:v>
      </x:c>
      <x:c r="M103" s="21" t="str">
        <x:v>YouTube</x:v>
      </x:c>
      <x:c r="N103" s="24" t="n">
        <x:v>21282</x:v>
      </x:c>
      <x:c r="O103" s="22" t="str">
        <x:v>A | Official / Original Creator / Organizer</x:v>
      </x:c>
      <x:c r="P103" s="22" t="str">
        <x:v>Core</x:v>
      </x:c>
      <x:c r="Q103" s="22" t="str">
        <x:v>Verified</x:v>
      </x:c>
      <x:c r="R103" s="25" t="n">
        <x:v>46244</x:v>
      </x:c>
      <x:c r="S103" s="17" t="str">
        <x:v>Matched to the target official channel; public metadata accessible.</x:v>
      </x:c>
      <x:c r="T103" s="16" t="str">
        <x:v>b_wvosA70f8</x:v>
      </x:c>
    </x:row>
    <x:row r="104" ht="42" customHeight="1">
      <x:c r="A104" s="21" t="str">
        <x:v>ST-103</x:v>
      </x:c>
      <x:c r="B104" s="21" t="str">
        <x:v>Course</x:v>
      </x:c>
      <x:c r="C104" s="21" t="str">
        <x:v>Vision</x:v>
      </x:c>
      <x:c r="D104" s="17" t="str">
        <x:v>Computer Vision</x:v>
      </x:c>
      <x:c r="E104" s="17" t="str">
        <x:v>Computer Vision</x:v>
      </x:c>
      <x:c r="F104" s="22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2" t="str">
        <x:v>Course Lecture</x:v>
      </x:c>
      <x:c r="K104" s="23" t="n">
        <x:v>74</x:v>
      </x:c>
      <x:c r="L104" s="16" t="str">
        <x:v>https://www.youtube.com/watch?v=PTypu6GqEd4</x:v>
      </x:c>
      <x:c r="M104" s="21" t="str">
        <x:v>YouTube</x:v>
      </x:c>
      <x:c r="N104" s="24" t="n">
        <x:v>32497</x:v>
      </x:c>
      <x:c r="O104" s="22" t="str">
        <x:v>A | Official / Original Creator / Organizer</x:v>
      </x:c>
      <x:c r="P104" s="22" t="str">
        <x:v>Core</x:v>
      </x:c>
      <x:c r="Q104" s="22" t="str">
        <x:v>Verified</x:v>
      </x:c>
      <x:c r="R104" s="25" t="n">
        <x:v>46244</x:v>
      </x:c>
      <x:c r="S104" s="17" t="str">
        <x:v>Matched to the target official channel; public metadata accessible.</x:v>
      </x:c>
      <x:c r="T104" s="16" t="str">
        <x:v>PTypu6GqEd4</x:v>
      </x:c>
    </x:row>
    <x:row r="105" ht="42" customHeight="1">
      <x:c r="A105" s="21" t="str">
        <x:v>ST-104</x:v>
      </x:c>
      <x:c r="B105" s="21" t="str">
        <x:v>Course</x:v>
      </x:c>
      <x:c r="C105" s="21" t="str">
        <x:v>Vision</x:v>
      </x:c>
      <x:c r="D105" s="17" t="str">
        <x:v>Computer Vision</x:v>
      </x:c>
      <x:c r="E105" s="17" t="str">
        <x:v>Computer Vision; AI Education</x:v>
      </x:c>
      <x:c r="F105" s="22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2" t="str">
        <x:v>Course Lecture</x:v>
      </x:c>
      <x:c r="K105" s="23" t="n">
        <x:v>75</x:v>
      </x:c>
      <x:c r="L105" s="16" t="str">
        <x:v>https://www.youtube.com/watch?v=4howBU7THbM</x:v>
      </x:c>
      <x:c r="M105" s="21" t="str">
        <x:v>YouTube</x:v>
      </x:c>
      <x:c r="N105" s="24" t="n">
        <x:v>24069</x:v>
      </x:c>
      <x:c r="O105" s="22" t="str">
        <x:v>A | Official / Original Creator / Organizer</x:v>
      </x:c>
      <x:c r="P105" s="22" t="str">
        <x:v>Core</x:v>
      </x:c>
      <x:c r="Q105" s="22" t="str">
        <x:v>Verified</x:v>
      </x:c>
      <x:c r="R105" s="25" t="n">
        <x:v>46244</x:v>
      </x:c>
      <x:c r="S105" s="17" t="str">
        <x:v>Matched to the target official channel; public metadata accessible.</x:v>
      </x:c>
      <x:c r="T105" s="16" t="str">
        <x:v>4howBU7THbM</x:v>
      </x:c>
    </x:row>
    <x:row r="106" ht="42" customHeight="1">
      <x:c r="A106" s="21" t="str">
        <x:v>ST-105</x:v>
      </x:c>
      <x:c r="B106" s="21" t="str">
        <x:v>Course</x:v>
      </x:c>
      <x:c r="C106" s="21" t="str">
        <x:v>Vision</x:v>
      </x:c>
      <x:c r="D106" s="17" t="str">
        <x:v>Computer Vision</x:v>
      </x:c>
      <x:c r="E106" s="17" t="str">
        <x:v>Large Language Models; Computer Vision</x:v>
      </x:c>
      <x:c r="F106" s="22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2" t="str">
        <x:v>Course Lecture</x:v>
      </x:c>
      <x:c r="K106" s="23" t="n">
        <x:v>67</x:v>
      </x:c>
      <x:c r="L106" s="16" t="str">
        <x:v>https://www.youtube.com/watch?v=RQowiOF_FvQ</x:v>
      </x:c>
      <x:c r="M106" s="21" t="str">
        <x:v>YouTube</x:v>
      </x:c>
      <x:c r="N106" s="24" t="n">
        <x:v>62352</x:v>
      </x:c>
      <x:c r="O106" s="22" t="str">
        <x:v>A | Official / Original Creator / Organizer</x:v>
      </x:c>
      <x:c r="P106" s="22" t="str">
        <x:v>Core</x:v>
      </x:c>
      <x:c r="Q106" s="22" t="str">
        <x:v>Verified</x:v>
      </x:c>
      <x:c r="R106" s="25" t="n">
        <x:v>46244</x:v>
      </x:c>
      <x:c r="S106" s="17" t="str">
        <x:v>Matched to the target official channel; public metadata accessible.</x:v>
      </x:c>
      <x:c r="T106" s="16" t="str">
        <x:v>RQowiOF_FvQ</x:v>
      </x:c>
    </x:row>
    <x:row r="107" ht="42" customHeight="1">
      <x:c r="A107" s="21" t="str">
        <x:v>ST-106</x:v>
      </x:c>
      <x:c r="B107" s="21" t="str">
        <x:v>Course</x:v>
      </x:c>
      <x:c r="C107" s="21" t="str">
        <x:v>Other</x:v>
      </x:c>
      <x:c r="D107" s="17" t="str">
        <x:v>Neural Network Foundations</x:v>
      </x:c>
      <x:c r="E107" s="17" t="str">
        <x:v>Neural Network Foundations</x:v>
      </x:c>
      <x:c r="F107" s="22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2" t="str">
        <x:v>Specialized Course</x:v>
      </x:c>
      <x:c r="K107" s="23" t="n">
        <x:v>146</x:v>
      </x:c>
      <x:c r="L107" s="16" t="str">
        <x:v>https://www.youtube.com/watch?v=VMj-3S1tku0</x:v>
      </x:c>
      <x:c r="M107" s="21" t="str">
        <x:v>YouTube</x:v>
      </x:c>
      <x:c r="N107" s="24" t="n">
        <x:v>3898342</x:v>
      </x:c>
      <x:c r="O107" s="22" t="str">
        <x:v>A | Official / Original Creator / Organizer</x:v>
      </x:c>
      <x:c r="P107" s="22" t="str">
        <x:v>Core</x:v>
      </x:c>
      <x:c r="Q107" s="22" t="str">
        <x:v>Verified</x:v>
      </x:c>
      <x:c r="R107" s="25" t="n">
        <x:v>46244</x:v>
      </x:c>
      <x:c r="S107" s="17" t="str">
        <x:v>Matched to the target official channel; public metadata accessible.</x:v>
      </x:c>
      <x:c r="T107" s="16" t="str">
        <x:v>VMj-3S1tku0</x:v>
      </x:c>
    </x:row>
    <x:row r="108" ht="42" customHeight="1">
      <x:c r="A108" s="21" t="str">
        <x:v>ST-107</x:v>
      </x:c>
      <x:c r="B108" s="21" t="str">
        <x:v>Course</x:v>
      </x:c>
      <x:c r="C108" s="21" t="str">
        <x:v>Other</x:v>
      </x:c>
      <x:c r="D108" s="17" t="str">
        <x:v>Deep Learning Foundations</x:v>
      </x:c>
      <x:c r="E108" s="17" t="str">
        <x:v>AI Education</x:v>
      </x:c>
      <x:c r="F108" s="22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2" t="str">
        <x:v>Specialized Course</x:v>
      </x:c>
      <x:c r="K108" s="23" t="n">
        <x:v>69</x:v>
      </x:c>
      <x:c r="L108" s="16" t="str">
        <x:v>https://www.youtube.com/watch?v=alfdI7S6wCY</x:v>
      </x:c>
      <x:c r="M108" s="21" t="str">
        <x:v>YouTube</x:v>
      </x:c>
      <x:c r="N108" s="24" t="n">
        <x:v>1021825</x:v>
      </x:c>
      <x:c r="O108" s="22" t="str">
        <x:v>A | Official / Original Creator / Organizer</x:v>
      </x:c>
      <x:c r="P108" s="22" t="str">
        <x:v>Core</x:v>
      </x:c>
      <x:c r="Q108" s="22" t="str">
        <x:v>Verified</x:v>
      </x:c>
      <x:c r="R108" s="25" t="n">
        <x:v>46244</x:v>
      </x:c>
      <x:c r="S108" s="17" t="str">
        <x:v>Matched to the target official channel; public metadata accessible.</x:v>
      </x:c>
      <x:c r="T108" s="16" t="str">
        <x:v>alfdI7S6wCY</x:v>
      </x:c>
    </x:row>
    <x:row r="109" ht="42" customHeight="1">
      <x:c r="A109" s="21" t="str">
        <x:v>ST-108</x:v>
      </x:c>
      <x:c r="B109" s="21" t="str">
        <x:v>Course</x:v>
      </x:c>
      <x:c r="C109" s="21" t="str">
        <x:v>Other</x:v>
      </x:c>
      <x:c r="D109" s="17" t="str">
        <x:v>Deep Learning Foundations</x:v>
      </x:c>
      <x:c r="E109" s="17" t="str">
        <x:v>AI Education</x:v>
      </x:c>
      <x:c r="F109" s="22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2" t="str">
        <x:v>Specialized Course</x:v>
      </x:c>
      <x:c r="K109" s="23" t="n">
        <x:v>53</x:v>
      </x:c>
      <x:c r="L109" s="16" t="str">
        <x:v>https://www.youtube.com/watch?v=njKP3FqW3Sk</x:v>
      </x:c>
      <x:c r="M109" s="21" t="str">
        <x:v>YouTube</x:v>
      </x:c>
      <x:c r="N109" s="24" t="n">
        <x:v>1243758</x:v>
      </x:c>
      <x:c r="O109" s="22" t="str">
        <x:v>A | Official / Original Creator / Organizer</x:v>
      </x:c>
      <x:c r="P109" s="22" t="str">
        <x:v>Core</x:v>
      </x:c>
      <x:c r="Q109" s="22" t="str">
        <x:v>Verified</x:v>
      </x:c>
      <x:c r="R109" s="25" t="n">
        <x:v>46244</x:v>
      </x:c>
      <x:c r="S109" s="17" t="str">
        <x:v>Matched to the target official channel; public metadata accessible.</x:v>
      </x:c>
      <x:c r="T109" s="16" t="str">
        <x:v>njKP3FqW3Sk</x:v>
      </x:c>
    </x:row>
    <x:row r="110" ht="42" customHeight="1">
      <x:c r="A110" s="21" t="str">
        <x:v>ST-109</x:v>
      </x:c>
      <x:c r="B110" s="21" t="str">
        <x:v>Course</x:v>
      </x:c>
      <x:c r="C110" s="21" t="str">
        <x:v>Other</x:v>
      </x:c>
      <x:c r="D110" s="17" t="str">
        <x:v>Deep Learning Foundations</x:v>
      </x:c>
      <x:c r="E110" s="17" t="str">
        <x:v>AI Education</x:v>
      </x:c>
      <x:c r="F110" s="22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2" t="str">
        <x:v>Specialized Course</x:v>
      </x:c>
      <x:c r="K110" s="23" t="n">
        <x:v>58</x:v>
      </x:c>
      <x:c r="L110" s="16" t="str">
        <x:v>https://www.youtube.com/watch?v=QDX-1M5Nj7s</x:v>
      </x:c>
      <x:c r="M110" s="21" t="str">
        <x:v>YouTube</x:v>
      </x:c>
      <x:c r="N110" s="24" t="n">
        <x:v>2063734</x:v>
      </x:c>
      <x:c r="O110" s="22" t="str">
        <x:v>A | Official / Original Creator / Organizer</x:v>
      </x:c>
      <x:c r="P110" s="22" t="str">
        <x:v>Core</x:v>
      </x:c>
      <x:c r="Q110" s="22" t="str">
        <x:v>Verified</x:v>
      </x:c>
      <x:c r="R110" s="25" t="n">
        <x:v>46244</x:v>
      </x:c>
      <x:c r="S110" s="17" t="str">
        <x:v>Matched to the target official channel; public metadata accessible.</x:v>
      </x:c>
      <x:c r="T110" s="16" t="str">
        <x:v>QDX-1M5Nj7s</x:v>
      </x:c>
    </x:row>
    <x:row r="111" ht="42" customHeight="1">
      <x:c r="A111" s="21" t="str">
        <x:v>ST-110</x:v>
      </x:c>
      <x:c r="B111" s="21" t="str">
        <x:v>Course</x:v>
      </x:c>
      <x:c r="C111" s="21" t="str">
        <x:v>Other</x:v>
      </x:c>
      <x:c r="D111" s="17" t="str">
        <x:v>Deep Learning Foundations</x:v>
      </x:c>
      <x:c r="E111" s="17" t="str">
        <x:v>AI Education</x:v>
      </x:c>
      <x:c r="F111" s="22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2" t="str">
        <x:v>Specialized Course</x:v>
      </x:c>
      <x:c r="K111" s="23" t="n">
        <x:v>70</x:v>
      </x:c>
      <x:c r="L111" s="16" t="str">
        <x:v>https://www.youtube.com/watch?v=ErnWZxJovaM</x:v>
      </x:c>
      <x:c r="M111" s="21" t="str">
        <x:v>YouTube</x:v>
      </x:c>
      <x:c r="N111" s="24" t="n">
        <x:v>1031188</x:v>
      </x:c>
      <x:c r="O111" s="22" t="str">
        <x:v>A | Official / Original Creator / Organizer</x:v>
      </x:c>
      <x:c r="P111" s="22" t="str">
        <x:v>Core</x:v>
      </x:c>
      <x:c r="Q111" s="22" t="str">
        <x:v>Verified</x:v>
      </x:c>
      <x:c r="R111" s="25" t="n">
        <x:v>46244</x:v>
      </x:c>
      <x:c r="S111" s="17" t="str">
        <x:v>Matched to the target official channel; public metadata accessible.</x:v>
      </x:c>
      <x:c r="T111" s="16" t="str">
        <x:v>ErnWZxJovaM</x:v>
      </x:c>
    </x:row>
    <x:row r="112" ht="42" customHeight="1">
      <x:c r="A112" s="21" t="str">
        <x:v>ST-111</x:v>
      </x:c>
      <x:c r="B112" s="21" t="str">
        <x:v>Course</x:v>
      </x:c>
      <x:c r="C112" s="21" t="str">
        <x:v>Other</x:v>
      </x:c>
      <x:c r="D112" s="17" t="str">
        <x:v>Deep Learning Foundations</x:v>
      </x:c>
      <x:c r="E112" s="17" t="str">
        <x:v>AI Education</x:v>
      </x:c>
      <x:c r="F112" s="22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2" t="str">
        <x:v>Specialized Course</x:v>
      </x:c>
      <x:c r="K112" s="23" t="n">
        <x:v>61</x:v>
      </x:c>
      <x:c r="L112" s="16" t="str">
        <x:v>https://www.youtube.com/watch?v=6FkRvTtUc-o</x:v>
      </x:c>
      <x:c r="M112" s="21" t="str">
        <x:v>YouTube</x:v>
      </x:c>
      <x:c r="N112" s="24" t="n">
        <x:v>464706</x:v>
      </x:c>
      <x:c r="O112" s="22" t="str">
        <x:v>A | Official / Original Creator / Organizer</x:v>
      </x:c>
      <x:c r="P112" s="22" t="str">
        <x:v>Core</x:v>
      </x:c>
      <x:c r="Q112" s="22" t="str">
        <x:v>Verified</x:v>
      </x:c>
      <x:c r="R112" s="25" t="n">
        <x:v>46244</x:v>
      </x:c>
      <x:c r="S112" s="17" t="str">
        <x:v>Matched to the target official channel; public metadata accessible.</x:v>
      </x:c>
      <x:c r="T112" s="16" t="str">
        <x:v>6FkRvTtUc-o</x:v>
      </x:c>
    </x:row>
    <x:row r="113" ht="42" customHeight="1">
      <x:c r="A113" s="21" t="str">
        <x:v>ST-112</x:v>
      </x:c>
      <x:c r="B113" s="21" t="str">
        <x:v>Course</x:v>
      </x:c>
      <x:c r="C113" s="21" t="str">
        <x:v>Other</x:v>
      </x:c>
      <x:c r="D113" s="17" t="str">
        <x:v>Deep Learning / Representation Learning</x:v>
      </x:c>
      <x:c r="E113" s="17" t="str">
        <x:v>AI Education</x:v>
      </x:c>
      <x:c r="F113" s="22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2" t="str">
        <x:v>Course Lecture</x:v>
      </x:c>
      <x:c r="K113" s="23" t="n">
        <x:v>99</x:v>
      </x:c>
      <x:c r="L113" s="16" t="str">
        <x:v>https://www.youtube.com/watch?v=0bMe_vCZo30</x:v>
      </x:c>
      <x:c r="M113" s="21" t="str">
        <x:v>YouTube</x:v>
      </x:c>
      <x:c r="N113" s="24" t="n">
        <x:v>277512</x:v>
      </x:c>
      <x:c r="O113" s="22" t="str">
        <x:v>A | Official / Original Creator / Organizer</x:v>
      </x:c>
      <x:c r="P113" s="22" t="str">
        <x:v>Core</x:v>
      </x:c>
      <x:c r="Q113" s="22" t="str">
        <x:v>Verified</x:v>
      </x:c>
      <x:c r="R113" s="25" t="n">
        <x:v>46244</x:v>
      </x:c>
      <x:c r="S113" s="17" t="str">
        <x:v>Matched to the target official channel; public metadata accessible.</x:v>
      </x:c>
      <x:c r="T113" s="16" t="str">
        <x:v>0bMe_vCZo30</x:v>
      </x:c>
    </x:row>
    <x:row r="114" ht="42" customHeight="1">
      <x:c r="A114" s="21" t="str">
        <x:v>ST-113</x:v>
      </x:c>
      <x:c r="B114" s="21" t="str">
        <x:v>Course</x:v>
      </x:c>
      <x:c r="C114" s="21" t="str">
        <x:v>Other</x:v>
      </x:c>
      <x:c r="D114" s="17" t="str">
        <x:v>Edge AI / TinyML</x:v>
      </x:c>
      <x:c r="E114" s="17" t="str">
        <x:v>AI Systems / MLOps</x:v>
      </x:c>
      <x:c r="F114" s="22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2" t="str">
        <x:v>Course Lecture</x:v>
      </x:c>
      <x:c r="K114" s="23" t="n">
        <x:v>77</x:v>
      </x:c>
      <x:c r="L114" s="16" t="str">
        <x:v>https://www.youtube.com/watch?v=rCFvPEQTxKI</x:v>
      </x:c>
      <x:c r="M114" s="21" t="str">
        <x:v>YouTube</x:v>
      </x:c>
      <x:c r="N114" s="24" t="n">
        <x:v>91350</x:v>
      </x:c>
      <x:c r="O114" s="22" t="str">
        <x:v>A | Official / Original Creator / Organizer</x:v>
      </x:c>
      <x:c r="P114" s="22" t="str">
        <x:v>Core</x:v>
      </x:c>
      <x:c r="Q114" s="22" t="str">
        <x:v>Verified</x:v>
      </x:c>
      <x:c r="R114" s="25" t="n">
        <x:v>46244</x:v>
      </x:c>
      <x:c r="S114" s="17" t="str">
        <x:v>Matched to the target official channel; public metadata accessible.</x:v>
      </x:c>
      <x:c r="T114" s="16" t="str">
        <x:v>rCFvPEQTxKI</x:v>
      </x:c>
    </x:row>
    <x:row r="115" ht="42" customHeight="1">
      <x:c r="A115" s="21" t="str">
        <x:v>ST-114</x:v>
      </x:c>
      <x:c r="B115" s="21" t="str">
        <x:v>Course</x:v>
      </x:c>
      <x:c r="C115" s="21" t="str">
        <x:v>Other</x:v>
      </x:c>
      <x:c r="D115" s="17" t="str">
        <x:v>MLOps / AI Product Engineering</x:v>
      </x:c>
      <x:c r="E115" s="17" t="str">
        <x:v>AI Systems / MLOps; AI Education</x:v>
      </x:c>
      <x:c r="F115" s="22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2" t="str">
        <x:v>Course Lecture</x:v>
      </x:c>
      <x:c r="K115" s="23" t="n">
        <x:v>54</x:v>
      </x:c>
      <x:c r="L115" s="16" t="str">
        <x:v>https://www.youtube.com/watch?v=-Iob-FW5jVM</x:v>
      </x:c>
      <x:c r="M115" s="21" t="str">
        <x:v>YouTube</x:v>
      </x:c>
      <x:c r="N115" s="24" t="n">
        <x:v>43449</x:v>
      </x:c>
      <x:c r="O115" s="22" t="str">
        <x:v>A | Official / Original Creator / Organizer</x:v>
      </x:c>
      <x:c r="P115" s="22" t="str">
        <x:v>Core</x:v>
      </x:c>
      <x:c r="Q115" s="22" t="str">
        <x:v>Verified</x:v>
      </x:c>
      <x:c r="R115" s="25" t="n">
        <x:v>46244</x:v>
      </x:c>
      <x:c r="S115" s="17" t="str">
        <x:v>Matched to the target official channel; public metadata accessible.</x:v>
      </x:c>
      <x:c r="T115" s="16" t="str">
        <x:v>-Iob-FW5jVM</x:v>
      </x:c>
    </x:row>
    <x:row r="116" ht="42" customHeight="1">
      <x:c r="A116" s="21" t="str">
        <x:v>ST-115</x:v>
      </x:c>
      <x:c r="B116" s="21" t="str">
        <x:v>Course</x:v>
      </x:c>
      <x:c r="C116" s="21" t="str">
        <x:v>Other</x:v>
      </x:c>
      <x:c r="D116" s="17" t="str">
        <x:v>Edge AI / TinyML</x:v>
      </x:c>
      <x:c r="E116" s="17" t="str">
        <x:v>AI Systems / MLOps</x:v>
      </x:c>
      <x:c r="F116" s="22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2" t="str">
        <x:v>Course Lecture</x:v>
      </x:c>
      <x:c r="K116" s="23" t="n">
        <x:v>77</x:v>
      </x:c>
      <x:c r="L116" s="16" t="str">
        <x:v>https://www.youtube.com/watch?v=6cAmS-_vEh8</x:v>
      </x:c>
      <x:c r="M116" s="21" t="str">
        <x:v>YouTube</x:v>
      </x:c>
      <x:c r="N116" s="24" t="n">
        <x:v>20855</x:v>
      </x:c>
      <x:c r="O116" s="22" t="str">
        <x:v>A | Official / Original Creator / Organizer</x:v>
      </x:c>
      <x:c r="P116" s="22" t="str">
        <x:v>Core</x:v>
      </x:c>
      <x:c r="Q116" s="22" t="str">
        <x:v>Verified</x:v>
      </x:c>
      <x:c r="R116" s="25" t="n">
        <x:v>46244</x:v>
      </x:c>
      <x:c r="S116" s="17" t="str">
        <x:v>Matched to the target official channel; public metadata accessible.</x:v>
      </x:c>
      <x:c r="T116" s="16" t="str">
        <x:v>6cAmS-_vEh8</x:v>
      </x:c>
    </x:row>
    <x:row r="117" ht="42" customHeight="1">
      <x:c r="A117" s="21" t="str">
        <x:v>ST-116</x:v>
      </x:c>
      <x:c r="B117" s="21" t="str">
        <x:v>Course</x:v>
      </x:c>
      <x:c r="C117" s="21" t="str">
        <x:v>Other</x:v>
      </x:c>
      <x:c r="D117" s="17" t="str">
        <x:v>Deep Reinforcement Learning</x:v>
      </x:c>
      <x:c r="E117" s="17" t="str">
        <x:v>Reinforcement Learning</x:v>
      </x:c>
      <x:c r="F117" s="22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2" t="str">
        <x:v>Course Lecture</x:v>
      </x:c>
      <x:c r="K117" s="23" t="n">
        <x:v>14</x:v>
      </x:c>
      <x:c r="L117" s="16" t="str">
        <x:v>https://www.youtube.com/watch?v=GKoKNYaBvM0</x:v>
      </x:c>
      <x:c r="M117" s="21" t="str">
        <x:v>YouTube</x:v>
      </x:c>
      <x:c r="N117" s="24" t="n">
        <x:v>44627</x:v>
      </x:c>
      <x:c r="O117" s="22" t="str">
        <x:v>A | Official / Original Creator / Organizer</x:v>
      </x:c>
      <x:c r="P117" s="22" t="str">
        <x:v>Core</x:v>
      </x:c>
      <x:c r="Q117" s="22" t="str">
        <x:v>Verified</x:v>
      </x:c>
      <x:c r="R117" s="25" t="n">
        <x:v>46244</x:v>
      </x:c>
      <x:c r="S117" s="17" t="str">
        <x:v>Matched to the target official channel; public metadata accessible.</x:v>
      </x:c>
      <x:c r="T117" s="16" t="str">
        <x:v>GKoKNYaBvM0</x:v>
      </x:c>
    </x:row>
    <x:row r="118" ht="42" customHeight="1">
      <x:c r="A118" s="21" t="str">
        <x:v>ST-117</x:v>
      </x:c>
      <x:c r="B118" s="21" t="str">
        <x:v>Course</x:v>
      </x:c>
      <x:c r="C118" s="21" t="str">
        <x:v>Other</x:v>
      </x:c>
      <x:c r="D118" s="17" t="str">
        <x:v>Deep Learning / Representation Learning</x:v>
      </x:c>
      <x:c r="E118" s="17" t="str">
        <x:v>AI Education</x:v>
      </x:c>
      <x:c r="F118" s="22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2" t="str">
        <x:v>Course Lecture</x:v>
      </x:c>
      <x:c r="K118" s="23" t="n">
        <x:v>30</x:v>
      </x:c>
      <x:c r="L118" s="16" t="str">
        <x:v>https://www.youtube.com/watch?v=rg4QyMFONNQ</x:v>
      </x:c>
      <x:c r="M118" s="21" t="str">
        <x:v>YouTube</x:v>
      </x:c>
      <x:c r="N118" s="24" t="n">
        <x:v>15625</x:v>
      </x:c>
      <x:c r="O118" s="22" t="str">
        <x:v>A | Official / Original Creator / Organizer</x:v>
      </x:c>
      <x:c r="P118" s="22" t="str">
        <x:v>Core</x:v>
      </x:c>
      <x:c r="Q118" s="22" t="str">
        <x:v>Verified</x:v>
      </x:c>
      <x:c r="R118" s="25" t="n">
        <x:v>46244</x:v>
      </x:c>
      <x:c r="S118" s="17" t="str">
        <x:v>Matched to the target official channel; public metadata accessible.</x:v>
      </x:c>
      <x:c r="T118" s="16" t="str">
        <x:v>rg4QyMFONNQ</x:v>
      </x:c>
    </x:row>
    <x:row r="119" ht="42" customHeight="1">
      <x:c r="A119" s="21" t="str">
        <x:v>ST-118</x:v>
      </x:c>
      <x:c r="B119" s="21" t="str">
        <x:v>Course</x:v>
      </x:c>
      <x:c r="C119" s="21" t="str">
        <x:v>Vision</x:v>
      </x:c>
      <x:c r="D119" s="17" t="str">
        <x:v>Deep Learning / Representation Learning</x:v>
      </x:c>
      <x:c r="E119" s="17" t="str">
        <x:v>Computer Vision</x:v>
      </x:c>
      <x:c r="F119" s="22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2" t="str">
        <x:v>Hands-on Tutorial</x:v>
      </x:c>
      <x:c r="K119" s="23" t="n">
        <x:v>53</x:v>
      </x:c>
      <x:c r="L119" s="16" t="str">
        <x:v>https://www.youtube.com/watch?v=5_qrxVq1kvc</x:v>
      </x:c>
      <x:c r="M119" s="21" t="str">
        <x:v>YouTube</x:v>
      </x:c>
      <x:c r="N119" s="24" t="n">
        <x:v>67972</x:v>
      </x:c>
      <x:c r="O119" s="22" t="str">
        <x:v>A | Official / Original Creator / Organizer</x:v>
      </x:c>
      <x:c r="P119" s="22" t="str">
        <x:v>Core</x:v>
      </x:c>
      <x:c r="Q119" s="22" t="str">
        <x:v>Verified</x:v>
      </x:c>
      <x:c r="R119" s="25" t="n">
        <x:v>46244</x:v>
      </x:c>
      <x:c r="S119" s="17" t="str">
        <x:v>Matched to the target official channel; public metadata accessible.</x:v>
      </x:c>
      <x:c r="T119" s="16" t="str">
        <x:v>5_qrxVq1kvc</x:v>
      </x:c>
    </x:row>
    <x:row r="120" ht="42" customHeight="1">
      <x:c r="A120" s="21" t="str">
        <x:v>ST-119</x:v>
      </x:c>
      <x:c r="B120" s="21" t="str">
        <x:v>Course</x:v>
      </x:c>
      <x:c r="C120" s="21" t="str">
        <x:v>Other</x:v>
      </x:c>
      <x:c r="D120" s="17" t="str">
        <x:v>Deep Reinforcement Learning</x:v>
      </x:c>
      <x:c r="E120" s="17" t="str">
        <x:v>Reinforcement Learning</x:v>
      </x:c>
      <x:c r="F120" s="22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2" t="str">
        <x:v>Course Lecture</x:v>
      </x:c>
      <x:c r="K120" s="23" t="n">
        <x:v>13</x:v>
      </x:c>
      <x:c r="L120" s="16" t="str">
        <x:v>https://www.youtube.com/watch?v=IoF7D0qec0I</x:v>
      </x:c>
      <x:c r="M120" s="21" t="str">
        <x:v>YouTube</x:v>
      </x:c>
      <x:c r="N120" s="24" t="n">
        <x:v>38120</x:v>
      </x:c>
      <x:c r="O120" s="22" t="str">
        <x:v>A | Official / Original Creator / Organizer</x:v>
      </x:c>
      <x:c r="P120" s="22" t="str">
        <x:v>Core</x:v>
      </x:c>
      <x:c r="Q120" s="22" t="str">
        <x:v>Verified</x:v>
      </x:c>
      <x:c r="R120" s="25" t="n">
        <x:v>46244</x:v>
      </x:c>
      <x:c r="S120" s="17" t="str">
        <x:v>Matched to the target official channel; public metadata accessible.</x:v>
      </x:c>
      <x:c r="T120" s="16" t="str">
        <x:v>IoF7D0qec0I</x:v>
      </x:c>
    </x:row>
    <x:row r="121" ht="42" customHeight="1">
      <x:c r="A121" s="21" t="str">
        <x:v>ST-120</x:v>
      </x:c>
      <x:c r="B121" s="21" t="str">
        <x:v>Course</x:v>
      </x:c>
      <x:c r="C121" s="21" t="str">
        <x:v>Other</x:v>
      </x:c>
      <x:c r="D121" s="17" t="str">
        <x:v>Edge AI / TinyML</x:v>
      </x:c>
      <x:c r="E121" s="17" t="str">
        <x:v>AI Systems / MLOps</x:v>
      </x:c>
      <x:c r="F121" s="22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2" t="str">
        <x:v>Course Lecture</x:v>
      </x:c>
      <x:c r="K121" s="23" t="n">
        <x:v>71</x:v>
      </x:c>
      <x:c r="L121" s="16" t="str">
        <x:v>https://www.youtube.com/watch?v=Q9bdjoVx_m4</x:v>
      </x:c>
      <x:c r="M121" s="21" t="str">
        <x:v>YouTube</x:v>
      </x:c>
      <x:c r="N121" s="24" t="n">
        <x:v>21100</x:v>
      </x:c>
      <x:c r="O121" s="22" t="str">
        <x:v>A | Official / Original Creator / Organizer</x:v>
      </x:c>
      <x:c r="P121" s="22" t="str">
        <x:v>Core</x:v>
      </x:c>
      <x:c r="Q121" s="22" t="str">
        <x:v>Verified</x:v>
      </x:c>
      <x:c r="R121" s="25" t="n">
        <x:v>46244</x:v>
      </x:c>
      <x:c r="S121" s="17" t="str">
        <x:v>Matched to the target official channel; public metadata accessible.</x:v>
      </x:c>
      <x:c r="T121" s="16" t="str">
        <x:v>Q9bdjoVx_m4</x:v>
      </x:c>
    </x:row>
    <x:row r="122" ht="42" customHeight="1">
      <x:c r="A122" s="21" t="str">
        <x:v>ST-121</x:v>
      </x:c>
      <x:c r="B122" s="21" t="str">
        <x:v>Course</x:v>
      </x:c>
      <x:c r="C122" s="21" t="str">
        <x:v>Other</x:v>
      </x:c>
      <x:c r="D122" s="17" t="str">
        <x:v>Deep Learning / Speech</x:v>
      </x:c>
      <x:c r="E122" s="17" t="str">
        <x:v>Deep Learning</x:v>
      </x:c>
      <x:c r="F122" s="22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2" t="str">
        <x:v>Course Lecture</x:v>
      </x:c>
      <x:c r="K122" s="23" t="n">
        <x:v>78</x:v>
      </x:c>
      <x:c r="L122" s="16" t="str">
        <x:v>https://www.youtube.com/watch?v=Q3qCfSiRmQY</x:v>
      </x:c>
      <x:c r="M122" s="21" t="str">
        <x:v>YouTube</x:v>
      </x:c>
      <x:c r="N122" s="24" t="n">
        <x:v>13840</x:v>
      </x:c>
      <x:c r="O122" s="22" t="str">
        <x:v>A | Official / Original Creator / Organizer</x:v>
      </x:c>
      <x:c r="P122" s="22" t="str">
        <x:v>Core</x:v>
      </x:c>
      <x:c r="Q122" s="22" t="str">
        <x:v>Verified</x:v>
      </x:c>
      <x:c r="R122" s="25" t="n">
        <x:v>46244</x:v>
      </x:c>
      <x:c r="S122" s="17" t="str">
        <x:v>Matched to the target official channel; public metadata accessible.</x:v>
      </x:c>
      <x:c r="T122" s="16" t="str">
        <x:v>Q3qCfSiRmQY</x:v>
      </x:c>
    </x:row>
    <x:row r="123" ht="42" customHeight="1">
      <x:c r="A123" s="21" t="str">
        <x:v>ST-122</x:v>
      </x:c>
      <x:c r="B123" s="21" t="str">
        <x:v>Course</x:v>
      </x:c>
      <x:c r="C123" s="21" t="str">
        <x:v>Other</x:v>
      </x:c>
      <x:c r="D123" s="17" t="str">
        <x:v>Edge AI / TinyML</x:v>
      </x:c>
      <x:c r="E123" s="17" t="str">
        <x:v>AI Systems / MLOps</x:v>
      </x:c>
      <x:c r="F123" s="22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2" t="str">
        <x:v>Course Lecture</x:v>
      </x:c>
      <x:c r="K123" s="23" t="n">
        <x:v>60</x:v>
      </x:c>
      <x:c r="L123" s="16" t="str">
        <x:v>https://www.youtube.com/watch?v=EkjVHToId7U</x:v>
      </x:c>
      <x:c r="M123" s="21" t="str">
        <x:v>YouTube</x:v>
      </x:c>
      <x:c r="N123" s="24" t="n">
        <x:v>13338</x:v>
      </x:c>
      <x:c r="O123" s="22" t="str">
        <x:v>A | Official / Original Creator / Organizer</x:v>
      </x:c>
      <x:c r="P123" s="22" t="str">
        <x:v>Core</x:v>
      </x:c>
      <x:c r="Q123" s="22" t="str">
        <x:v>Verified</x:v>
      </x:c>
      <x:c r="R123" s="25" t="n">
        <x:v>46244</x:v>
      </x:c>
      <x:c r="S123" s="17" t="str">
        <x:v>Matched to the target official channel; public metadata accessible.</x:v>
      </x:c>
      <x:c r="T123" s="16" t="str">
        <x:v>EkjVHToId7U</x:v>
      </x:c>
    </x:row>
    <x:row r="124" ht="42" customHeight="1">
      <x:c r="A124" s="21" t="str">
        <x:v>ST-123</x:v>
      </x:c>
      <x:c r="B124" s="21" t="str">
        <x:v>Course</x:v>
      </x:c>
      <x:c r="C124" s="21" t="str">
        <x:v>Other</x:v>
      </x:c>
      <x:c r="D124" s="17" t="str">
        <x:v>MLOps / AI Product Engineering</x:v>
      </x:c>
      <x:c r="E124" s="17" t="str">
        <x:v>AI Systems / MLOps</x:v>
      </x:c>
      <x:c r="F124" s="22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2" t="str">
        <x:v>Course Lecture</x:v>
      </x:c>
      <x:c r="K124" s="23" t="n">
        <x:v>52</x:v>
      </x:c>
      <x:c r="L124" s="16" t="str">
        <x:v>https://www.youtube.com/watch?v=BPYOsDCZbno</x:v>
      </x:c>
      <x:c r="M124" s="21" t="str">
        <x:v>YouTube</x:v>
      </x:c>
      <x:c r="N124" s="24" t="n">
        <x:v>14166</x:v>
      </x:c>
      <x:c r="O124" s="22" t="str">
        <x:v>A | Official / Original Creator / Organizer</x:v>
      </x:c>
      <x:c r="P124" s="22" t="str">
        <x:v>Core</x:v>
      </x:c>
      <x:c r="Q124" s="22" t="str">
        <x:v>Verified</x:v>
      </x:c>
      <x:c r="R124" s="25" t="n">
        <x:v>46244</x:v>
      </x:c>
      <x:c r="S124" s="17" t="str">
        <x:v>Matched to the target official channel; public metadata accessible.</x:v>
      </x:c>
      <x:c r="T124" s="16" t="str">
        <x:v>BPYOsDCZbno</x:v>
      </x:c>
    </x:row>
    <x:row r="125" ht="42" customHeight="1">
      <x:c r="A125" s="21" t="str">
        <x:v>ST-124</x:v>
      </x:c>
      <x:c r="B125" s="21" t="str">
        <x:v>Course</x:v>
      </x:c>
      <x:c r="C125" s="21" t="str">
        <x:v>Other</x:v>
      </x:c>
      <x:c r="D125" s="17" t="str">
        <x:v>Deep Learning / Representation Learning</x:v>
      </x:c>
      <x:c r="E125" s="17" t="str">
        <x:v>Deep Learning</x:v>
      </x:c>
      <x:c r="F125" s="22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2" t="str">
        <x:v>Course Lecture</x:v>
      </x:c>
      <x:c r="K125" s="23" t="n">
        <x:v>58</x:v>
      </x:c>
      <x:c r="L125" s="16" t="str">
        <x:v>https://www.youtube.com/watch?v=3_e0HVV3nMM</x:v>
      </x:c>
      <x:c r="M125" s="21" t="str">
        <x:v>YouTube</x:v>
      </x:c>
      <x:c r="N125" s="24" t="n">
        <x:v>6824</x:v>
      </x:c>
      <x:c r="O125" s="22" t="str">
        <x:v>A | Official / Original Creator / Organizer</x:v>
      </x:c>
      <x:c r="P125" s="22" t="str">
        <x:v>Core</x:v>
      </x:c>
      <x:c r="Q125" s="22" t="str">
        <x:v>Verified</x:v>
      </x:c>
      <x:c r="R125" s="25" t="n">
        <x:v>46244</x:v>
      </x:c>
      <x:c r="S125" s="17" t="str">
        <x:v>Matched to the target official channel; public metadata accessible.</x:v>
      </x:c>
      <x:c r="T125" s="16" t="str">
        <x:v>3_e0HVV3nMM</x:v>
      </x:c>
    </x:row>
    <x:row r="126" ht="42" customHeight="1">
      <x:c r="A126" s="21" t="str">
        <x:v>ST-125</x:v>
      </x:c>
      <x:c r="B126" s="21" t="str">
        <x:v>Course</x:v>
      </x:c>
      <x:c r="C126" s="21" t="str">
        <x:v>Other</x:v>
      </x:c>
      <x:c r="D126" s="17" t="str">
        <x:v>Deep Reinforcement Learning</x:v>
      </x:c>
      <x:c r="E126" s="17" t="str">
        <x:v>Reinforcement Learning; AI Education</x:v>
      </x:c>
      <x:c r="F126" s="22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2" t="str">
        <x:v>Course Lecture</x:v>
      </x:c>
      <x:c r="K126" s="23" t="n">
        <x:v>23</x:v>
      </x:c>
      <x:c r="L126" s="16" t="str">
        <x:v>https://www.youtube.com/watch?v=YivJ9KDjn-o</x:v>
      </x:c>
      <x:c r="M126" s="21" t="str">
        <x:v>YouTube</x:v>
      </x:c>
      <x:c r="N126" s="24" t="n">
        <x:v>26115</x:v>
      </x:c>
      <x:c r="O126" s="22" t="str">
        <x:v>A | Official / Original Creator / Organizer</x:v>
      </x:c>
      <x:c r="P126" s="22" t="str">
        <x:v>Core</x:v>
      </x:c>
      <x:c r="Q126" s="22" t="str">
        <x:v>Verified</x:v>
      </x:c>
      <x:c r="R126" s="25" t="n">
        <x:v>46244</x:v>
      </x:c>
      <x:c r="S126" s="17" t="str">
        <x:v>Matched to the target official channel; public metadata accessible.</x:v>
      </x:c>
      <x:c r="T126" s="16" t="str">
        <x:v>YivJ9KDjn-o</x:v>
      </x:c>
    </x:row>
    <x:row r="127" ht="42" customHeight="1">
      <x:c r="A127" s="21" t="str">
        <x:v>ST-126</x:v>
      </x:c>
      <x:c r="B127" s="21" t="str">
        <x:v>Course</x:v>
      </x:c>
      <x:c r="C127" s="21" t="str">
        <x:v>Other</x:v>
      </x:c>
      <x:c r="D127" s="17" t="str">
        <x:v>Deep Reinforcement Learning</x:v>
      </x:c>
      <x:c r="E127" s="17" t="str">
        <x:v>Reinforcement Learning</x:v>
      </x:c>
      <x:c r="F127" s="22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2" t="str">
        <x:v>Course Lecture</x:v>
      </x:c>
      <x:c r="K127" s="23" t="n">
        <x:v>18</x:v>
      </x:c>
      <x:c r="L127" s="16" t="str">
        <x:v>https://www.youtube.com/watch?v=BYh36cb92JQ</x:v>
      </x:c>
      <x:c r="M127" s="21" t="str">
        <x:v>YouTube</x:v>
      </x:c>
      <x:c r="N127" s="24" t="n">
        <x:v>27433</x:v>
      </x:c>
      <x:c r="O127" s="22" t="str">
        <x:v>A | Official / Original Creator / Organizer</x:v>
      </x:c>
      <x:c r="P127" s="22" t="str">
        <x:v>Core</x:v>
      </x:c>
      <x:c r="Q127" s="22" t="str">
        <x:v>Verified</x:v>
      </x:c>
      <x:c r="R127" s="25" t="n">
        <x:v>46244</x:v>
      </x:c>
      <x:c r="S127" s="17" t="str">
        <x:v>Matched to the target official channel; public metadata accessible.</x:v>
      </x:c>
      <x:c r="T127" s="16" t="str">
        <x:v>BYh36cb92JQ</x:v>
      </x:c>
    </x:row>
    <x:row r="128" ht="42" customHeight="1">
      <x:c r="A128" s="21" t="str">
        <x:v>ST-127</x:v>
      </x:c>
      <x:c r="B128" s="21" t="str">
        <x:v>Course</x:v>
      </x:c>
      <x:c r="C128" s="21" t="str">
        <x:v>Other</x:v>
      </x:c>
      <x:c r="D128" s="17" t="str">
        <x:v>MLOps / AI Product Engineering</x:v>
      </x:c>
      <x:c r="E128" s="17" t="str">
        <x:v>AI Systems / MLOps</x:v>
      </x:c>
      <x:c r="F128" s="22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2" t="str">
        <x:v>Course Lecture</x:v>
      </x:c>
      <x:c r="K128" s="23" t="n">
        <x:v>57</x:v>
      </x:c>
      <x:c r="L128" s="16" t="str">
        <x:v>https://www.youtube.com/watch?v=W3hKjXg7fXM</x:v>
      </x:c>
      <x:c r="M128" s="21" t="str">
        <x:v>YouTube</x:v>
      </x:c>
      <x:c r="N128" s="24" t="n">
        <x:v>6713</x:v>
      </x:c>
      <x:c r="O128" s="22" t="str">
        <x:v>A | Official / Original Creator / Organizer</x:v>
      </x:c>
      <x:c r="P128" s="22" t="str">
        <x:v>Core</x:v>
      </x:c>
      <x:c r="Q128" s="22" t="str">
        <x:v>Verified</x:v>
      </x:c>
      <x:c r="R128" s="25" t="n">
        <x:v>46244</x:v>
      </x:c>
      <x:c r="S128" s="17" t="str">
        <x:v>Matched to the target official channel; public metadata accessible.</x:v>
      </x:c>
      <x:c r="T128" s="16" t="str">
        <x:v>W3hKjXg7fXM</x:v>
      </x:c>
    </x:row>
    <x:row r="129" ht="42" customHeight="1">
      <x:c r="A129" s="21" t="str">
        <x:v>ST-128</x:v>
      </x:c>
      <x:c r="B129" s="21" t="str">
        <x:v>Course</x:v>
      </x:c>
      <x:c r="C129" s="21" t="str">
        <x:v>Other</x:v>
      </x:c>
      <x:c r="D129" s="17" t="str">
        <x:v>Deep Learning Foundations</x:v>
      </x:c>
      <x:c r="E129" s="17" t="str">
        <x:v>AI Education</x:v>
      </x:c>
      <x:c r="F129" s="22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2" t="str">
        <x:v>Specialized Course</x:v>
      </x:c>
      <x:c r="K129" s="23" t="n">
        <x:v>108</x:v>
      </x:c>
      <x:c r="L129" s="16" t="str">
        <x:v>https://www.youtube.com/watch?v=RYMwu7lwmvo</x:v>
      </x:c>
      <x:c r="M129" s="21" t="str">
        <x:v>YouTube</x:v>
      </x:c>
      <x:c r="N129" s="24" t="n">
        <x:v>4418</x:v>
      </x:c>
      <x:c r="O129" s="22" t="str">
        <x:v>A | Official / Original Creator / Organizer</x:v>
      </x:c>
      <x:c r="P129" s="22" t="str">
        <x:v>Core</x:v>
      </x:c>
      <x:c r="Q129" s="22" t="str">
        <x:v>Verified</x:v>
      </x:c>
      <x:c r="R129" s="25" t="n">
        <x:v>46244</x:v>
      </x:c>
      <x:c r="S129" s="17" t="str">
        <x:v>Matched to the target official channel; public metadata accessible.</x:v>
      </x:c>
      <x:c r="T129" s="16" t="str">
        <x:v>RYMwu7lwmvo</x:v>
      </x:c>
    </x:row>
    <x:row r="130" ht="42" customHeight="1">
      <x:c r="A130" s="21" t="str">
        <x:v>ST-129</x:v>
      </x:c>
      <x:c r="B130" s="21" t="str">
        <x:v>Course</x:v>
      </x:c>
      <x:c r="C130" s="21" t="str">
        <x:v>Other</x:v>
      </x:c>
      <x:c r="D130" s="17" t="str">
        <x:v>Deep Learning / Representation Learning</x:v>
      </x:c>
      <x:c r="E130" s="17" t="str">
        <x:v>Graph Machine Learning</x:v>
      </x:c>
      <x:c r="F130" s="22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2" t="str">
        <x:v>Course Lecture</x:v>
      </x:c>
      <x:c r="K130" s="23" t="n">
        <x:v>120</x:v>
      </x:c>
      <x:c r="L130" s="16" t="str">
        <x:v>https://www.youtube.com/watch?v=Iiv9R6BjxHM</x:v>
      </x:c>
      <x:c r="M130" s="21" t="str">
        <x:v>YouTube</x:v>
      </x:c>
      <x:c r="N130" s="24" t="n">
        <x:v>62756</x:v>
      </x:c>
      <x:c r="O130" s="22" t="str">
        <x:v>A | Official / Original Creator / Organizer</x:v>
      </x:c>
      <x:c r="P130" s="22" t="str">
        <x:v>Core</x:v>
      </x:c>
      <x:c r="Q130" s="22" t="str">
        <x:v>Verified</x:v>
      </x:c>
      <x:c r="R130" s="25" t="n">
        <x:v>46244</x:v>
      </x:c>
      <x:c r="S130" s="17" t="str">
        <x:v>Matched to the target official channel; public metadata accessible.</x:v>
      </x:c>
      <x:c r="T130" s="16" t="str">
        <x:v>Iiv9R6BjxHM</x:v>
      </x:c>
    </x:row>
    <x:row r="131" ht="42" customHeight="1">
      <x:c r="A131" s="21" t="str">
        <x:v>ST-130</x:v>
      </x:c>
      <x:c r="B131" s="21" t="str">
        <x:v>Course</x:v>
      </x:c>
      <x:c r="C131" s="21" t="str">
        <x:v>Other</x:v>
      </x:c>
      <x:c r="D131" s="17" t="str">
        <x:v>Deep Reinforcement Learning</x:v>
      </x:c>
      <x:c r="E131" s="17" t="str">
        <x:v>Reinforcement Learning; AI Education</x:v>
      </x:c>
      <x:c r="F131" s="22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2" t="str">
        <x:v>Course Lecture</x:v>
      </x:c>
      <x:c r="K131" s="23" t="n">
        <x:v>25</x:v>
      </x:c>
      <x:c r="L131" s="16" t="str">
        <x:v>https://www.youtube.com/watch?v=tbLaFtYpWWU</x:v>
      </x:c>
      <x:c r="M131" s="21" t="str">
        <x:v>YouTube</x:v>
      </x:c>
      <x:c r="N131" s="24" t="n">
        <x:v>32604</x:v>
      </x:c>
      <x:c r="O131" s="22" t="str">
        <x:v>A | Official / Original Creator / Organizer</x:v>
      </x:c>
      <x:c r="P131" s="22" t="str">
        <x:v>Core</x:v>
      </x:c>
      <x:c r="Q131" s="22" t="str">
        <x:v>Verified</x:v>
      </x:c>
      <x:c r="R131" s="25" t="n">
        <x:v>46244</x:v>
      </x:c>
      <x:c r="S131" s="17" t="str">
        <x:v>Matched to the target official channel; public metadata accessible.</x:v>
      </x:c>
      <x:c r="T131" s="16" t="str">
        <x:v>tbLaFtYpWWU</x:v>
      </x:c>
    </x:row>
    <x:row r="132" ht="42" customHeight="1">
      <x:c r="A132" s="21" t="str">
        <x:v>ST-131</x:v>
      </x:c>
      <x:c r="B132" s="21" t="str">
        <x:v>Course</x:v>
      </x:c>
      <x:c r="C132" s="21" t="str">
        <x:v>Other</x:v>
      </x:c>
      <x:c r="D132" s="17" t="str">
        <x:v>MLOps / AI Product Engineering</x:v>
      </x:c>
      <x:c r="E132" s="17" t="str">
        <x:v>AI Systems / MLOps</x:v>
      </x:c>
      <x:c r="F132" s="22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2" t="str">
        <x:v>Course Lecture</x:v>
      </x:c>
      <x:c r="K132" s="23" t="n">
        <x:v>43</x:v>
      </x:c>
      <x:c r="L132" s="16" t="str">
        <x:v>https://www.youtube.com/watch?v=RLemHNAO5Lw</x:v>
      </x:c>
      <x:c r="M132" s="21" t="str">
        <x:v>YouTube</x:v>
      </x:c>
      <x:c r="N132" s="24" t="n">
        <x:v>6174</x:v>
      </x:c>
      <x:c r="O132" s="22" t="str">
        <x:v>A | Official / Original Creator / Organizer</x:v>
      </x:c>
      <x:c r="P132" s="22" t="str">
        <x:v>Core</x:v>
      </x:c>
      <x:c r="Q132" s="22" t="str">
        <x:v>Verified</x:v>
      </x:c>
      <x:c r="R132" s="25" t="n">
        <x:v>46244</x:v>
      </x:c>
      <x:c r="S132" s="17" t="str">
        <x:v>Matched to the target official channel; public metadata accessible.</x:v>
      </x:c>
      <x:c r="T132" s="16" t="str">
        <x:v>RLemHNAO5Lw</x:v>
      </x:c>
    </x:row>
    <x:row r="133" ht="42" customHeight="1">
      <x:c r="A133" s="21" t="str">
        <x:v>ST-132</x:v>
      </x:c>
      <x:c r="B133" s="21" t="str">
        <x:v>Course</x:v>
      </x:c>
      <x:c r="C133" s="21" t="str">
        <x:v>Other</x:v>
      </x:c>
      <x:c r="D133" s="17" t="str">
        <x:v>Deep Learning Foundations</x:v>
      </x:c>
      <x:c r="E133" s="17" t="str">
        <x:v>AI Education</x:v>
      </x:c>
      <x:c r="F133" s="22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2" t="str">
        <x:v>Hands-on Tutorial</x:v>
      </x:c>
      <x:c r="K133" s="23" t="n">
        <x:v>84</x:v>
      </x:c>
      <x:c r="L133" s="16" t="str">
        <x:v>https://www.youtube.com/watch?v=_pxN-U2qL0I</x:v>
      </x:c>
      <x:c r="M133" s="21" t="str">
        <x:v>YouTube</x:v>
      </x:c>
      <x:c r="N133" s="24" t="n">
        <x:v>3883</x:v>
      </x:c>
      <x:c r="O133" s="22" t="str">
        <x:v>A | Official / Original Creator / Organizer</x:v>
      </x:c>
      <x:c r="P133" s="22" t="str">
        <x:v>Core</x:v>
      </x:c>
      <x:c r="Q133" s="22" t="str">
        <x:v>Verified</x:v>
      </x:c>
      <x:c r="R133" s="25" t="n">
        <x:v>46244</x:v>
      </x:c>
      <x:c r="S133" s="17" t="str">
        <x:v>Matched to the target official channel; public metadata accessible.</x:v>
      </x:c>
      <x:c r="T133" s="16" t="str">
        <x:v>_pxN-U2qL0I</x:v>
      </x:c>
    </x:row>
    <x:row r="134" ht="42" customHeight="1">
      <x:c r="A134" s="21" t="str">
        <x:v>ST-133</x:v>
      </x:c>
      <x:c r="B134" s="21" t="str">
        <x:v>Course</x:v>
      </x:c>
      <x:c r="C134" s="21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2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2" t="str">
        <x:v>Course Lecture</x:v>
      </x:c>
      <x:c r="K134" s="23" t="n">
        <x:v>85</x:v>
      </x:c>
      <x:c r="L134" s="16" t="str">
        <x:v>https://www.youtube.com/watch?v=7FQpbYTqjAA</x:v>
      </x:c>
      <x:c r="M134" s="21" t="str">
        <x:v>YouTube</x:v>
      </x:c>
      <x:c r="N134" s="24" t="n">
        <x:v>2424</x:v>
      </x:c>
      <x:c r="O134" s="22" t="str">
        <x:v>A | Official / Original Creator / Organizer</x:v>
      </x:c>
      <x:c r="P134" s="22" t="str">
        <x:v>Core</x:v>
      </x:c>
      <x:c r="Q134" s="22" t="str">
        <x:v>Verified</x:v>
      </x:c>
      <x:c r="R134" s="25" t="n">
        <x:v>46244</x:v>
      </x:c>
      <x:c r="S134" s="17" t="str">
        <x:v>Matched to the target official channel; public metadata accessible.</x:v>
      </x:c>
      <x:c r="T134" s="16" t="str">
        <x:v>7FQpbYTqjAA</x:v>
      </x:c>
    </x:row>
    <x:row r="135" ht="42" customHeight="1">
      <x:c r="A135" s="21" t="str">
        <x:v>ST-134</x:v>
      </x:c>
      <x:c r="B135" s="21" t="str">
        <x:v>Course</x:v>
      </x:c>
      <x:c r="C135" s="21" t="str">
        <x:v>Other</x:v>
      </x:c>
      <x:c r="D135" s="17" t="str">
        <x:v>Deep Learning Foundations</x:v>
      </x:c>
      <x:c r="E135" s="17" t="str">
        <x:v>AI Education</x:v>
      </x:c>
      <x:c r="F135" s="22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2" t="str">
        <x:v>Hands-on Tutorial</x:v>
      </x:c>
      <x:c r="K135" s="23" t="n">
        <x:v>63</x:v>
      </x:c>
      <x:c r="L135" s="16" t="str">
        <x:v>https://www.youtube.com/watch?v=Bs9EXRNmnK4</x:v>
      </x:c>
      <x:c r="M135" s="21" t="str">
        <x:v>YouTube</x:v>
      </x:c>
      <x:c r="N135" s="24" t="n">
        <x:v>1988</x:v>
      </x:c>
      <x:c r="O135" s="22" t="str">
        <x:v>A | Official / Original Creator / Organizer</x:v>
      </x:c>
      <x:c r="P135" s="22" t="str">
        <x:v>Core</x:v>
      </x:c>
      <x:c r="Q135" s="22" t="str">
        <x:v>Verified</x:v>
      </x:c>
      <x:c r="R135" s="25" t="n">
        <x:v>46244</x:v>
      </x:c>
      <x:c r="S135" s="17" t="str">
        <x:v>Matched to the target official channel; public metadata accessible.</x:v>
      </x:c>
      <x:c r="T135" s="16" t="str">
        <x:v>Bs9EXRNmnK4</x:v>
      </x:c>
    </x:row>
    <x:row r="136" ht="42" customHeight="1">
      <x:c r="A136" s="21" t="str">
        <x:v>ST-135</x:v>
      </x:c>
      <x:c r="B136" s="21" t="str">
        <x:v>Course</x:v>
      </x:c>
      <x:c r="C136" s="21" t="str">
        <x:v>Other</x:v>
      </x:c>
      <x:c r="D136" s="17" t="str">
        <x:v>Deep Learning Foundations</x:v>
      </x:c>
      <x:c r="E136" s="17" t="str">
        <x:v>AI Education</x:v>
      </x:c>
      <x:c r="F136" s="22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2" t="str">
        <x:v>Hands-on Tutorial</x:v>
      </x:c>
      <x:c r="K136" s="23" t="n">
        <x:v>100</x:v>
      </x:c>
      <x:c r="L136" s="16" t="str">
        <x:v>https://www.youtube.com/watch?v=baEQGk-CTwk</x:v>
      </x:c>
      <x:c r="M136" s="21" t="str">
        <x:v>YouTube</x:v>
      </x:c>
      <x:c r="N136" s="24" t="n">
        <x:v>2171</x:v>
      </x:c>
      <x:c r="O136" s="22" t="str">
        <x:v>A | Official / Original Creator / Organizer</x:v>
      </x:c>
      <x:c r="P136" s="22" t="str">
        <x:v>Core</x:v>
      </x:c>
      <x:c r="Q136" s="22" t="str">
        <x:v>Verified</x:v>
      </x:c>
      <x:c r="R136" s="25" t="n">
        <x:v>46244</x:v>
      </x:c>
      <x:c r="S136" s="17" t="str">
        <x:v>Matched to the target official channel; public metadata accessible.</x:v>
      </x:c>
      <x:c r="T136" s="16" t="str">
        <x:v>baEQGk-CTwk</x:v>
      </x:c>
    </x:row>
    <x:row r="137" ht="42" customHeight="1">
      <x:c r="A137" s="21" t="str">
        <x:v>ST-136</x:v>
      </x:c>
      <x:c r="B137" s="21" t="str">
        <x:v>Course</x:v>
      </x:c>
      <x:c r="C137" s="21" t="str">
        <x:v>Other</x:v>
      </x:c>
      <x:c r="D137" s="17" t="str">
        <x:v>Neural Network Foundations</x:v>
      </x:c>
      <x:c r="E137" s="17" t="str">
        <x:v>Large Language Models</x:v>
      </x:c>
      <x:c r="F137" s="22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2" t="str">
        <x:v>Specialized Course</x:v>
      </x:c>
      <x:c r="K137" s="23" t="n">
        <x:v>116</x:v>
      </x:c>
      <x:c r="L137" s="16" t="str">
        <x:v>https://www.youtube.com/watch?v=kCc8FmEb1nY</x:v>
      </x:c>
      <x:c r="M137" s="21" t="str">
        <x:v>YouTube</x:v>
      </x:c>
      <x:c r="N137" s="24" t="n">
        <x:v>7627451</x:v>
      </x:c>
      <x:c r="O137" s="22" t="str">
        <x:v>A | Official / Original Creator / Organizer</x:v>
      </x:c>
      <x:c r="P137" s="22" t="str">
        <x:v>Core</x:v>
      </x:c>
      <x:c r="Q137" s="22" t="str">
        <x:v>Verified</x:v>
      </x:c>
      <x:c r="R137" s="25" t="n">
        <x:v>46244</x:v>
      </x:c>
      <x:c r="S137" s="17" t="str">
        <x:v>Matched to the target official channel; public metadata accessible.</x:v>
      </x:c>
      <x:c r="T137" s="16" t="str">
        <x:v>kCc8FmEb1nY</x:v>
      </x:c>
    </x:row>
    <x:row r="138" ht="42" customHeight="1">
      <x:c r="A138" s="21" t="str">
        <x:v>ST-137</x:v>
      </x:c>
      <x:c r="B138" s="21" t="str">
        <x:v>Course</x:v>
      </x:c>
      <x:c r="C138" s="21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2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2" t="str">
        <x:v>Course Lecture</x:v>
      </x:c>
      <x:c r="K138" s="23" t="n">
        <x:v>120</x:v>
      </x:c>
      <x:c r="L138" s="16" t="str">
        <x:v>https://www.youtube.com/watch?v=tMwZlbMJggA</x:v>
      </x:c>
      <x:c r="M138" s="21" t="str">
        <x:v>YouTube</x:v>
      </x:c>
      <x:c r="N138" s="24" t="n">
        <x:v>5612</x:v>
      </x:c>
      <x:c r="O138" s="22" t="str">
        <x:v>A | Official / Original Creator / Organizer</x:v>
      </x:c>
      <x:c r="P138" s="22" t="str">
        <x:v>Core</x:v>
      </x:c>
      <x:c r="Q138" s="22" t="str">
        <x:v>Verified</x:v>
      </x:c>
      <x:c r="R138" s="25" t="n">
        <x:v>46244</x:v>
      </x:c>
      <x:c r="S138" s="17" t="str">
        <x:v>Matched to the target official channel; public metadata accessible.</x:v>
      </x:c>
      <x:c r="T138" s="16" t="str">
        <x:v>tMwZlbMJggA</x:v>
      </x:c>
    </x:row>
    <x:row r="139" ht="42" customHeight="1">
      <x:c r="A139" s="21" t="str">
        <x:v>ST-138</x:v>
      </x:c>
      <x:c r="B139" s="21" t="str">
        <x:v>Course</x:v>
      </x:c>
      <x:c r="C139" s="21" t="str">
        <x:v>Other</x:v>
      </x:c>
      <x:c r="D139" s="17" t="str">
        <x:v>Deep Learning Foundations</x:v>
      </x:c>
      <x:c r="E139" s="17" t="str">
        <x:v>AI Education</x:v>
      </x:c>
      <x:c r="F139" s="22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2" t="str">
        <x:v>Hands-on Tutorial</x:v>
      </x:c>
      <x:c r="K139" s="23" t="n">
        <x:v>91</x:v>
      </x:c>
      <x:c r="L139" s="16" t="str">
        <x:v>https://www.youtube.com/watch?v=rRQcS1O58xk</x:v>
      </x:c>
      <x:c r="M139" s="21" t="str">
        <x:v>YouTube</x:v>
      </x:c>
      <x:c r="N139" s="24" t="n">
        <x:v>955</x:v>
      </x:c>
      <x:c r="O139" s="22" t="str">
        <x:v>A | Official / Original Creator / Organizer</x:v>
      </x:c>
      <x:c r="P139" s="22" t="str">
        <x:v>Core</x:v>
      </x:c>
      <x:c r="Q139" s="22" t="str">
        <x:v>Verified</x:v>
      </x:c>
      <x:c r="R139" s="25" t="n">
        <x:v>46244</x:v>
      </x:c>
      <x:c r="S139" s="17" t="str">
        <x:v>Matched to the target official channel; public metadata accessible.</x:v>
      </x:c>
      <x:c r="T139" s="16" t="str">
        <x:v>rRQcS1O58xk</x:v>
      </x:c>
    </x:row>
    <x:row r="140" ht="42" customHeight="1">
      <x:c r="A140" s="21" t="str">
        <x:v>ST-139</x:v>
      </x:c>
      <x:c r="B140" s="21" t="str">
        <x:v>Course</x:v>
      </x:c>
      <x:c r="C140" s="21" t="str">
        <x:v>Other</x:v>
      </x:c>
      <x:c r="D140" s="17" t="str">
        <x:v>Deep Learning / Speech</x:v>
      </x:c>
      <x:c r="E140" s="17" t="str">
        <x:v>AI Education</x:v>
      </x:c>
      <x:c r="F140" s="22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2" t="str">
        <x:v>Course Lecture</x:v>
      </x:c>
      <x:c r="K140" s="23" t="n">
        <x:v>84</x:v>
      </x:c>
      <x:c r="L140" s="16" t="str">
        <x:v>https://www.youtube.com/watch?v=1KRcs8XYUWo</x:v>
      </x:c>
      <x:c r="M140" s="21" t="str">
        <x:v>YouTube</x:v>
      </x:c>
      <x:c r="N140" s="24" t="n">
        <x:v>631</x:v>
      </x:c>
      <x:c r="O140" s="22" t="str">
        <x:v>A | Official / Original Creator / Organizer</x:v>
      </x:c>
      <x:c r="P140" s="22" t="str">
        <x:v>Core</x:v>
      </x:c>
      <x:c r="Q140" s="22" t="str">
        <x:v>Verified</x:v>
      </x:c>
      <x:c r="R140" s="25" t="n">
        <x:v>46244</x:v>
      </x:c>
      <x:c r="S140" s="17" t="str">
        <x:v>Matched to the target official channel; public metadata accessible.</x:v>
      </x:c>
      <x:c r="T140" s="16" t="str">
        <x:v>1KRcs8XYUWo</x:v>
      </x:c>
    </x:row>
    <x:row r="141" ht="42" customHeight="1">
      <x:c r="A141" s="21" t="str">
        <x:v>ST-140</x:v>
      </x:c>
      <x:c r="B141" s="21" t="str">
        <x:v>Course</x:v>
      </x:c>
      <x:c r="C141" s="21" t="str">
        <x:v>Other</x:v>
      </x:c>
      <x:c r="D141" s="17" t="str">
        <x:v>Deep Learning / Speech</x:v>
      </x:c>
      <x:c r="E141" s="17" t="str">
        <x:v>Deep Learning</x:v>
      </x:c>
      <x:c r="F141" s="22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2" t="str">
        <x:v>Course Lecture</x:v>
      </x:c>
      <x:c r="K141" s="23" t="n">
        <x:v>84</x:v>
      </x:c>
      <x:c r="L141" s="16" t="str">
        <x:v>https://www.youtube.com/watch?v=QX8SfTQccUM</x:v>
      </x:c>
      <x:c r="M141" s="21" t="str">
        <x:v>YouTube</x:v>
      </x:c>
      <x:c r="N141" s="24" t="n">
        <x:v>4285</x:v>
      </x:c>
      <x:c r="O141" s="22" t="str">
        <x:v>A | Official / Original Creator / Organizer</x:v>
      </x:c>
      <x:c r="P141" s="22" t="str">
        <x:v>Core</x:v>
      </x:c>
      <x:c r="Q141" s="22" t="str">
        <x:v>Verified</x:v>
      </x:c>
      <x:c r="R141" s="25" t="n">
        <x:v>46244</x:v>
      </x:c>
      <x:c r="S141" s="17" t="str">
        <x:v>Matched to the target official channel; public metadata accessible.</x:v>
      </x:c>
      <x:c r="T141" s="16" t="str">
        <x:v>QX8SfTQccUM</x:v>
      </x:c>
    </x:row>
    <x:row r="142" ht="42" customHeight="1">
      <x:c r="A142" s="21" t="str">
        <x:v>ST-141</x:v>
      </x:c>
      <x:c r="B142" s="21" t="str">
        <x:v>Course</x:v>
      </x:c>
      <x:c r="C142" s="21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2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2" t="str">
        <x:v>Course Lecture</x:v>
      </x:c>
      <x:c r="K142" s="23" t="n">
        <x:v>58</x:v>
      </x:c>
      <x:c r="L142" s="16" t="str">
        <x:v>https://www.youtube.com/watch?v=ExUR7w6xe94</x:v>
      </x:c>
      <x:c r="M142" s="21" t="str">
        <x:v>YouTube</x:v>
      </x:c>
      <x:c r="N142" s="24" t="n">
        <x:v>4162</x:v>
      </x:c>
      <x:c r="O142" s="22" t="str">
        <x:v>A | Official / Original Creator / Organizer</x:v>
      </x:c>
      <x:c r="P142" s="22" t="str">
        <x:v>Core</x:v>
      </x:c>
      <x:c r="Q142" s="22" t="str">
        <x:v>Verified</x:v>
      </x:c>
      <x:c r="R142" s="25" t="n">
        <x:v>46244</x:v>
      </x:c>
      <x:c r="S142" s="17" t="str">
        <x:v>Matched to the target official channel; public metadata accessible.</x:v>
      </x:c>
      <x:c r="T142" s="16" t="str">
        <x:v>ExUR7w6xe94</x:v>
      </x:c>
    </x:row>
    <x:row r="143" ht="42" customHeight="1">
      <x:c r="A143" s="21" t="str">
        <x:v>ST-142</x:v>
      </x:c>
      <x:c r="B143" s="21" t="str">
        <x:v>Course</x:v>
      </x:c>
      <x:c r="C143" s="21" t="str">
        <x:v>Other</x:v>
      </x:c>
      <x:c r="D143" s="17" t="str">
        <x:v>Deep Learning / Speech</x:v>
      </x:c>
      <x:c r="E143" s="17" t="str">
        <x:v>AI Education</x:v>
      </x:c>
      <x:c r="F143" s="22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2" t="str">
        <x:v>Course Lecture</x:v>
      </x:c>
      <x:c r="K143" s="23" t="n">
        <x:v>83</x:v>
      </x:c>
      <x:c r="L143" s="16" t="str">
        <x:v>https://www.youtube.com/watch?v=1EoMZNywIR8</x:v>
      </x:c>
      <x:c r="M143" s="21" t="str">
        <x:v>YouTube</x:v>
      </x:c>
      <x:c r="N143" s="24" t="n">
        <x:v>494</x:v>
      </x:c>
      <x:c r="O143" s="22" t="str">
        <x:v>A | Official / Original Creator / Organizer</x:v>
      </x:c>
      <x:c r="P143" s="22" t="str">
        <x:v>Core</x:v>
      </x:c>
      <x:c r="Q143" s="22" t="str">
        <x:v>Verified</x:v>
      </x:c>
      <x:c r="R143" s="25" t="n">
        <x:v>46244</x:v>
      </x:c>
      <x:c r="S143" s="17" t="str">
        <x:v>Matched to the target official channel; public metadata accessible.</x:v>
      </x:c>
      <x:c r="T143" s="16" t="str">
        <x:v>1EoMZNywIR8</x:v>
      </x:c>
    </x:row>
    <x:row r="144" ht="42" customHeight="1">
      <x:c r="A144" s="21" t="str">
        <x:v>ST-143</x:v>
      </x:c>
      <x:c r="B144" s="21" t="str">
        <x:v>Course</x:v>
      </x:c>
      <x:c r="C144" s="21" t="str">
        <x:v>Other</x:v>
      </x:c>
      <x:c r="D144" s="17" t="str">
        <x:v>Deep Learning Foundations</x:v>
      </x:c>
      <x:c r="E144" s="17" t="str">
        <x:v>Deep Learning Foundations</x:v>
      </x:c>
      <x:c r="F144" s="22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2" t="str">
        <x:v>Specialized Course</x:v>
      </x:c>
      <x:c r="K144" s="23" t="n">
        <x:v>115</x:v>
      </x:c>
      <x:c r="L144" s="16" t="str">
        <x:v>https://www.youtube.com/watch?v=Oyp6yy4adWE</x:v>
      </x:c>
      <x:c r="M144" s="21" t="str">
        <x:v>YouTube</x:v>
      </x:c>
      <x:c r="N144" s="24" t="n">
        <x:v>609</x:v>
      </x:c>
      <x:c r="O144" s="22" t="str">
        <x:v>A | Official / Original Creator / Organizer</x:v>
      </x:c>
      <x:c r="P144" s="22" t="str">
        <x:v>Core</x:v>
      </x:c>
      <x:c r="Q144" s="22" t="str">
        <x:v>Verified</x:v>
      </x:c>
      <x:c r="R144" s="25" t="n">
        <x:v>46244</x:v>
      </x:c>
      <x:c r="S144" s="17" t="str">
        <x:v>Matched to the target official channel; public metadata accessible.</x:v>
      </x:c>
      <x:c r="T144" s="16" t="str">
        <x:v>Oyp6yy4adWE</x:v>
      </x:c>
    </x:row>
    <x:row r="145" ht="42" customHeight="1">
      <x:c r="A145" s="21" t="str">
        <x:v>ST-144</x:v>
      </x:c>
      <x:c r="B145" s="21" t="str">
        <x:v>Course</x:v>
      </x:c>
      <x:c r="C145" s="21" t="str">
        <x:v>Other</x:v>
      </x:c>
      <x:c r="D145" s="17" t="str">
        <x:v>Neural Network Foundations</x:v>
      </x:c>
      <x:c r="E145" s="17" t="str">
        <x:v>Large Language Models</x:v>
      </x:c>
      <x:c r="F145" s="22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2" t="str">
        <x:v>Specialized Course</x:v>
      </x:c>
      <x:c r="K145" s="23" t="n">
        <x:v>211</x:v>
      </x:c>
      <x:c r="L145" s="16" t="str">
        <x:v>https://www.youtube.com/watch?v=7xTGNNLPyMI</x:v>
      </x:c>
      <x:c r="M145" s="21" t="str">
        <x:v>YouTube</x:v>
      </x:c>
      <x:c r="N145" s="24" t="n">
        <x:v>8453046</x:v>
      </x:c>
      <x:c r="O145" s="22" t="str">
        <x:v>A | Official / Original Creator / Organizer</x:v>
      </x:c>
      <x:c r="P145" s="22" t="str">
        <x:v>Core</x:v>
      </x:c>
      <x:c r="Q145" s="22" t="str">
        <x:v>Verified</x:v>
      </x:c>
      <x:c r="R145" s="25" t="n">
        <x:v>46244</x:v>
      </x:c>
      <x:c r="S145" s="17" t="str">
        <x:v>Matched to the target official channel; public metadata accessible.</x:v>
      </x:c>
      <x:c r="T145" s="16" t="str">
        <x:v>7xTGNNLPyMI</x:v>
      </x:c>
    </x:row>
    <x:row r="146" ht="42" customHeight="1">
      <x:c r="A146" s="21" t="str">
        <x:v>ST-145</x:v>
      </x:c>
      <x:c r="B146" s="21" t="str">
        <x:v>Course</x:v>
      </x:c>
      <x:c r="C146" s="21" t="str">
        <x:v>Other</x:v>
      </x:c>
      <x:c r="D146" s="17" t="str">
        <x:v>Deep Learning Foundations</x:v>
      </x:c>
      <x:c r="E146" s="17" t="str">
        <x:v>AI Education</x:v>
      </x:c>
      <x:c r="F146" s="22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2" t="str">
        <x:v>Course Lecture</x:v>
      </x:c>
      <x:c r="K146" s="23" t="n">
        <x:v>116</x:v>
      </x:c>
      <x:c r="L146" s="16" t="str">
        <x:v>https://www.youtube.com/watch?v=KKyVlgZWvqc</x:v>
      </x:c>
      <x:c r="M146" s="21" t="str">
        <x:v>YouTube</x:v>
      </x:c>
      <x:c r="N146" s="24" t="n">
        <x:v>345</x:v>
      </x:c>
      <x:c r="O146" s="22" t="str">
        <x:v>A | Official / Original Creator / Organizer</x:v>
      </x:c>
      <x:c r="P146" s="22" t="str">
        <x:v>Core</x:v>
      </x:c>
      <x:c r="Q146" s="22" t="str">
        <x:v>Verified</x:v>
      </x:c>
      <x:c r="R146" s="25" t="n">
        <x:v>46244</x:v>
      </x:c>
      <x:c r="S146" s="17" t="str">
        <x:v>Matched to the target official channel; public metadata accessible.</x:v>
      </x:c>
      <x:c r="T146" s="16" t="str">
        <x:v>KKyVlgZWvqc</x:v>
      </x:c>
    </x:row>
    <x:row r="147" ht="42" customHeight="1">
      <x:c r="A147" s="21" t="str">
        <x:v>ST-146</x:v>
      </x:c>
      <x:c r="B147" s="21" t="str">
        <x:v>Course</x:v>
      </x:c>
      <x:c r="C147" s="21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2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2" t="str">
        <x:v>Course Lecture</x:v>
      </x:c>
      <x:c r="K147" s="23" t="n">
        <x:v>56</x:v>
      </x:c>
      <x:c r="L147" s="16" t="str">
        <x:v>https://www.youtube.com/watch?v=Ihgk8kGLpIE</x:v>
      </x:c>
      <x:c r="M147" s="21" t="str">
        <x:v>YouTube</x:v>
      </x:c>
      <x:c r="N147" s="24" t="n">
        <x:v>15786</x:v>
      </x:c>
      <x:c r="O147" s="22" t="str">
        <x:v>A | Official / Original Creator / Organizer</x:v>
      </x:c>
      <x:c r="P147" s="22" t="str">
        <x:v>Core</x:v>
      </x:c>
      <x:c r="Q147" s="22" t="str">
        <x:v>Verified</x:v>
      </x:c>
      <x:c r="R147" s="25" t="n">
        <x:v>46244</x:v>
      </x:c>
      <x:c r="S147" s="17" t="str">
        <x:v>Matched to the target official channel; public metadata accessible.</x:v>
      </x:c>
      <x:c r="T147" s="16" t="str">
        <x:v>Ihgk8kGLpIE</x:v>
      </x:c>
    </x:row>
    <x:row r="148" ht="42" customHeight="1">
      <x:c r="A148" s="21" t="str">
        <x:v>ST-147</x:v>
      </x:c>
      <x:c r="B148" s="21" t="str">
        <x:v>Course</x:v>
      </x:c>
      <x:c r="C148" s="21" t="str">
        <x:v>Other</x:v>
      </x:c>
      <x:c r="D148" s="17" t="str">
        <x:v>Neural Network Foundations</x:v>
      </x:c>
      <x:c r="E148" s="17" t="str">
        <x:v>Large Language Models</x:v>
      </x:c>
      <x:c r="F148" s="22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2" t="str">
        <x:v>Specialized Course</x:v>
      </x:c>
      <x:c r="K148" s="23" t="n">
        <x:v>60</x:v>
      </x:c>
      <x:c r="L148" s="16" t="str">
        <x:v>https://www.youtube.com/watch?v=zjkBMFhNj_g</x:v>
      </x:c>
      <x:c r="M148" s="21" t="str">
        <x:v>YouTube</x:v>
      </x:c>
      <x:c r="N148" s="24" t="n">
        <x:v>3958658</x:v>
      </x:c>
      <x:c r="O148" s="22" t="str">
        <x:v>A | Official / Original Creator / Organizer</x:v>
      </x:c>
      <x:c r="P148" s="22" t="str">
        <x:v>Core</x:v>
      </x:c>
      <x:c r="Q148" s="22" t="str">
        <x:v>Verified</x:v>
      </x:c>
      <x:c r="R148" s="25" t="n">
        <x:v>46244</x:v>
      </x:c>
      <x:c r="S148" s="17" t="str">
        <x:v>Matched to the target official channel; public metadata accessible.</x:v>
      </x:c>
      <x:c r="T148" s="16" t="str">
        <x:v>zjkBMFhNj_g</x:v>
      </x:c>
    </x:row>
    <x:row r="149" ht="42" customHeight="1">
      <x:c r="A149" s="21" t="str">
        <x:v>ST-148</x:v>
      </x:c>
      <x:c r="B149" s="21" t="str">
        <x:v>Course</x:v>
      </x:c>
      <x:c r="C149" s="21" t="str">
        <x:v>Other</x:v>
      </x:c>
      <x:c r="D149" s="17" t="str">
        <x:v>Deep Learning Foundations</x:v>
      </x:c>
      <x:c r="E149" s="17" t="str">
        <x:v>Deep Learning Foundations</x:v>
      </x:c>
      <x:c r="F149" s="22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2" t="str">
        <x:v>Specialized Course</x:v>
      </x:c>
      <x:c r="K149" s="23" t="n">
        <x:v>115</x:v>
      </x:c>
      <x:c r="L149" s="16" t="str">
        <x:v>https://www.youtube.com/watch?v=s85lkNvIJo8</x:v>
      </x:c>
      <x:c r="M149" s="21" t="str">
        <x:v>YouTube</x:v>
      </x:c>
      <x:c r="N149" s="24" t="n">
        <x:v>992</x:v>
      </x:c>
      <x:c r="O149" s="22" t="str">
        <x:v>A | Official / Original Creator / Organizer</x:v>
      </x:c>
      <x:c r="P149" s="22" t="str">
        <x:v>Core</x:v>
      </x:c>
      <x:c r="Q149" s="22" t="str">
        <x:v>Verified</x:v>
      </x:c>
      <x:c r="R149" s="25" t="n">
        <x:v>46244</x:v>
      </x:c>
      <x:c r="S149" s="17" t="str">
        <x:v>Matched to the target official channel; public metadata accessible.</x:v>
      </x:c>
      <x:c r="T149" s="16" t="str">
        <x:v>s85lkNvIJo8</x:v>
      </x:c>
    </x:row>
    <x:row r="150" ht="42" customHeight="1">
      <x:c r="A150" s="21" t="str">
        <x:v>ST-149</x:v>
      </x:c>
      <x:c r="B150" s="21" t="str">
        <x:v>Course</x:v>
      </x:c>
      <x:c r="C150" s="21" t="str">
        <x:v>Other</x:v>
      </x:c>
      <x:c r="D150" s="17" t="str">
        <x:v>Neural Network Foundations</x:v>
      </x:c>
      <x:c r="E150" s="17" t="str">
        <x:v>Large Language Models</x:v>
      </x:c>
      <x:c r="F150" s="22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2" t="str">
        <x:v>Specialized Course</x:v>
      </x:c>
      <x:c r="K150" s="23" t="n">
        <x:v>118</x:v>
      </x:c>
      <x:c r="L150" s="16" t="str">
        <x:v>https://www.youtube.com/watch?v=PaCmpygFfXo</x:v>
      </x:c>
      <x:c r="M150" s="21" t="str">
        <x:v>YouTube</x:v>
      </x:c>
      <x:c r="N150" s="24" t="n">
        <x:v>1234566</x:v>
      </x:c>
      <x:c r="O150" s="22" t="str">
        <x:v>A | Official / Original Creator / Organizer</x:v>
      </x:c>
      <x:c r="P150" s="22" t="str">
        <x:v>Core</x:v>
      </x:c>
      <x:c r="Q150" s="22" t="str">
        <x:v>Verified</x:v>
      </x:c>
      <x:c r="R150" s="25" t="n">
        <x:v>46244</x:v>
      </x:c>
      <x:c r="S150" s="17" t="str">
        <x:v>Matched to the target official channel; public metadata accessible.</x:v>
      </x:c>
      <x:c r="T150" s="16" t="str">
        <x:v>PaCmpygFfXo</x:v>
      </x:c>
    </x:row>
    <x:row r="151" ht="42" customHeight="1">
      <x:c r="A151" s="21" t="str">
        <x:v>ST-150</x:v>
      </x:c>
      <x:c r="B151" s="21" t="str">
        <x:v>Course</x:v>
      </x:c>
      <x:c r="C151" s="21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2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2" t="str">
        <x:v>Specialized Course</x:v>
      </x:c>
      <x:c r="K151" s="23" t="n">
        <x:v>37</x:v>
      </x:c>
      <x:c r="L151" s="16" t="str">
        <x:v>https://www.youtube.com/watch?v=p055U0dnEos</x:v>
      </x:c>
      <x:c r="M151" s="21" t="str">
        <x:v>YouTube</x:v>
      </x:c>
      <x:c r="N151" s="24" t="n">
        <x:v>892</x:v>
      </x:c>
      <x:c r="O151" s="22" t="str">
        <x:v>A | Official / Original Creator / Organizer</x:v>
      </x:c>
      <x:c r="P151" s="22" t="str">
        <x:v>Core</x:v>
      </x:c>
      <x:c r="Q151" s="22" t="str">
        <x:v>Verified</x:v>
      </x:c>
      <x:c r="R151" s="25" t="n">
        <x:v>46244</x:v>
      </x:c>
      <x:c r="S151" s="17" t="str">
        <x:v>Matched to the target official channel; public metadata accessible.</x:v>
      </x:c>
      <x:c r="T151" s="16" t="str">
        <x:v>p055U0dnEos</x:v>
      </x:c>
    </x:row>
    <x:row r="152" ht="42" customHeight="1">
      <x:c r="A152" s="21" t="str">
        <x:v>ST-151</x:v>
      </x:c>
      <x:c r="B152" s="21" t="str">
        <x:v>Talk</x:v>
      </x:c>
      <x:c r="C152" s="21" t="str">
        <x:v>Other</x:v>
      </x:c>
      <x:c r="D152" s="17" t="str">
        <x:v>AI Systems / Accelerated Computing</x:v>
      </x:c>
      <x:c r="E152" s="17" t="str">
        <x:v>AI Systems / MLOps</x:v>
      </x:c>
      <x:c r="F152" s="22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2" t="str">
        <x:v>Conference Keynote</x:v>
      </x:c>
      <x:c r="K152" s="23" t="n">
        <x:v>123</x:v>
      </x:c>
      <x:c r="L152" s="16" t="str">
        <x:v>https://www.youtube.com/watch?v=Y2F8yisiS6E</x:v>
      </x:c>
      <x:c r="M152" s="21" t="str">
        <x:v>YouTube</x:v>
      </x:c>
      <x:c r="N152" s="24" t="n">
        <x:v>27386722</x:v>
      </x:c>
      <x:c r="O152" s="22" t="str">
        <x:v>A | Official / Original Creator / Organizer</x:v>
      </x:c>
      <x:c r="P152" s="22" t="str">
        <x:v>Core</x:v>
      </x:c>
      <x:c r="Q152" s="22" t="str">
        <x:v>Verified</x:v>
      </x:c>
      <x:c r="R152" s="25" t="n">
        <x:v>46244</x:v>
      </x:c>
      <x:c r="S152" s="17" t="str">
        <x:v>Matched to the target official channel; public metadata accessible.</x:v>
      </x:c>
      <x:c r="T152" s="16" t="str">
        <x:v>Y2F8yisiS6E</x:v>
      </x:c>
    </x:row>
    <x:row r="153" ht="42" customHeight="1">
      <x:c r="A153" s="21" t="str">
        <x:v>ST-152</x:v>
      </x:c>
      <x:c r="B153" s="21" t="str">
        <x:v>Talk</x:v>
      </x:c>
      <x:c r="C153" s="21" t="str">
        <x:v>Other</x:v>
      </x:c>
      <x:c r="D153" s="17" t="str">
        <x:v>AI Systems / Accelerated Computing</x:v>
      </x:c>
      <x:c r="E153" s="17" t="str">
        <x:v>AI Systems / MLOps</x:v>
      </x:c>
      <x:c r="F153" s="22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2" t="str">
        <x:v>Conference Keynote</x:v>
      </x:c>
      <x:c r="K153" s="23" t="n">
        <x:v>92</x:v>
      </x:c>
      <x:c r="L153" s="16" t="str">
        <x:v>https://www.youtube.com/watch?v=k82RwXqZHY8</x:v>
      </x:c>
      <x:c r="M153" s="21" t="str">
        <x:v>YouTube</x:v>
      </x:c>
      <x:c r="N153" s="24" t="n">
        <x:v>8471399</x:v>
      </x:c>
      <x:c r="O153" s="22" t="str">
        <x:v>A | Official / Original Creator / Organizer</x:v>
      </x:c>
      <x:c r="P153" s="22" t="str">
        <x:v>Core</x:v>
      </x:c>
      <x:c r="Q153" s="22" t="str">
        <x:v>Verified</x:v>
      </x:c>
      <x:c r="R153" s="25" t="n">
        <x:v>46244</x:v>
      </x:c>
      <x:c r="S153" s="17" t="str">
        <x:v>Matched to the target official channel; public metadata accessible.</x:v>
      </x:c>
      <x:c r="T153" s="16" t="str">
        <x:v>k82RwXqZHY8</x:v>
      </x:c>
    </x:row>
    <x:row r="154" ht="42" customHeight="1">
      <x:c r="A154" s="21" t="str">
        <x:v>ST-153</x:v>
      </x:c>
      <x:c r="B154" s="21" t="str">
        <x:v>Talk</x:v>
      </x:c>
      <x:c r="C154" s="21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2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2" t="str">
        <x:v>Conference Keynote</x:v>
      </x:c>
      <x:c r="K154" s="23" t="n">
        <x:v>60</x:v>
      </x:c>
      <x:c r="L154" s="16" t="str">
        <x:v>https://www.youtube.com/watch?v=vXDetI2TUWw</x:v>
      </x:c>
      <x:c r="M154" s="21" t="str">
        <x:v>YouTube</x:v>
      </x:c>
      <x:c r="N154" s="24" t="n">
        <x:v>7396676</x:v>
      </x:c>
      <x:c r="O154" s="22" t="str">
        <x:v>A | Official / Original Creator / Organizer</x:v>
      </x:c>
      <x:c r="P154" s="22" t="str">
        <x:v>Core</x:v>
      </x:c>
      <x:c r="Q154" s="22" t="str">
        <x:v>Verified</x:v>
      </x:c>
      <x:c r="R154" s="25" t="n">
        <x:v>46244</x:v>
      </x:c>
      <x:c r="S154" s="17" t="str">
        <x:v>Matched to the target official channel; public metadata accessible.</x:v>
      </x:c>
      <x:c r="T154" s="16" t="str">
        <x:v>vXDetI2TUWw</x:v>
      </x:c>
    </x:row>
    <x:row r="155" ht="42" customHeight="1">
      <x:c r="A155" s="21" t="str">
        <x:v>ST-154</x:v>
      </x:c>
      <x:c r="B155" s="21" t="str">
        <x:v>Talk</x:v>
      </x:c>
      <x:c r="C155" s="21" t="str">
        <x:v>Other</x:v>
      </x:c>
      <x:c r="D155" s="17" t="str">
        <x:v>AI Systems / Accelerated Computing</x:v>
      </x:c>
      <x:c r="E155" s="17" t="str">
        <x:v>AI Systems / MLOps</x:v>
      </x:c>
      <x:c r="F155" s="22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2" t="str">
        <x:v>Conference Keynote</x:v>
      </x:c>
      <x:c r="K155" s="23" t="n">
        <x:v>97</x:v>
      </x:c>
      <x:c r="L155" s="16" t="str">
        <x:v>https://www.youtube.com/watch?v=X9cHONwKkn4</x:v>
      </x:c>
      <x:c r="M155" s="21" t="str">
        <x:v>YouTube</x:v>
      </x:c>
      <x:c r="N155" s="24" t="n">
        <x:v>7229826</x:v>
      </x:c>
      <x:c r="O155" s="22" t="str">
        <x:v>A | Official / Original Creator / Organizer</x:v>
      </x:c>
      <x:c r="P155" s="22" t="str">
        <x:v>Core</x:v>
      </x:c>
      <x:c r="Q155" s="22" t="str">
        <x:v>Verified</x:v>
      </x:c>
      <x:c r="R155" s="25" t="n">
        <x:v>46244</x:v>
      </x:c>
      <x:c r="S155" s="17" t="str">
        <x:v>Matched to the target official channel; public metadata accessible.</x:v>
      </x:c>
      <x:c r="T155" s="16" t="str">
        <x:v>X9cHONwKkn4</x:v>
      </x:c>
    </x:row>
    <x:row r="156" ht="42" customHeight="1">
      <x:c r="A156" s="21" t="str">
        <x:v>ST-155</x:v>
      </x:c>
      <x:c r="B156" s="21" t="str">
        <x:v>Talk</x:v>
      </x:c>
      <x:c r="C156" s="21" t="str">
        <x:v>Other</x:v>
      </x:c>
      <x:c r="D156" s="17" t="str">
        <x:v>AI Systems / Accelerated Computing</x:v>
      </x:c>
      <x:c r="E156" s="17" t="str">
        <x:v>AI Systems / MLOps</x:v>
      </x:c>
      <x:c r="F156" s="22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2" t="str">
        <x:v>Conference Keynote</x:v>
      </x:c>
      <x:c r="K156" s="23" t="n">
        <x:v>27</x:v>
      </x:c>
      <x:c r="L156" s="16" t="str">
        <x:v>https://www.youtube.com/watch?v=Lp4eyWKstBs</x:v>
      </x:c>
      <x:c r="M156" s="21" t="str">
        <x:v>YouTube</x:v>
      </x:c>
      <x:c r="N156" s="24" t="n">
        <x:v>846652</x:v>
      </x:c>
      <x:c r="O156" s="22" t="str">
        <x:v>A | Official / Original Creator / Organizer</x:v>
      </x:c>
      <x:c r="P156" s="22" t="str">
        <x:v>Core</x:v>
      </x:c>
      <x:c r="Q156" s="22" t="str">
        <x:v>Verified</x:v>
      </x:c>
      <x:c r="R156" s="25" t="n">
        <x:v>46244</x:v>
      </x:c>
      <x:c r="S156" s="17" t="str">
        <x:v>Matched to the target official channel; public metadata accessible.</x:v>
      </x:c>
      <x:c r="T156" s="16" t="str">
        <x:v>Lp4eyWKstBs</x:v>
      </x:c>
    </x:row>
    <x:row r="157" ht="42" customHeight="1">
      <x:c r="A157" s="21" t="str">
        <x:v>ST-156</x:v>
      </x:c>
      <x:c r="B157" s="21" t="str">
        <x:v>Talk</x:v>
      </x:c>
      <x:c r="C157" s="21" t="str">
        <x:v>Robotics</x:v>
      </x:c>
      <x:c r="D157" s="17" t="str">
        <x:v>Robotics / Embodied AI</x:v>
      </x:c>
      <x:c r="E157" s="17" t="str">
        <x:v>Robotics / Embodied AI</x:v>
      </x:c>
      <x:c r="F157" s="22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2" t="str">
        <x:v>Research Seminar</x:v>
      </x:c>
      <x:c r="K157" s="23" t="n">
        <x:v>67</x:v>
      </x:c>
      <x:c r="L157" s="16" t="str">
        <x:v>https://www.youtube.com/watch?v=wfJpKjMwXpg</x:v>
      </x:c>
      <x:c r="M157" s="21" t="str">
        <x:v>YouTube</x:v>
      </x:c>
      <x:c r="N157" s="24" t="n">
        <x:v>29503</x:v>
      </x:c>
      <x:c r="O157" s="22" t="str">
        <x:v>A | Official / Original Creator / Organizer</x:v>
      </x:c>
      <x:c r="P157" s="22" t="str">
        <x:v>Core</x:v>
      </x:c>
      <x:c r="Q157" s="22" t="str">
        <x:v>Verified</x:v>
      </x:c>
      <x:c r="R157" s="25" t="n">
        <x:v>46244</x:v>
      </x:c>
      <x:c r="S157" s="17" t="str">
        <x:v>Matched to the target official channel; public metadata accessible.</x:v>
      </x:c>
      <x:c r="T157" s="16" t="str">
        <x:v>wfJpKjMwXpg</x:v>
      </x:c>
    </x:row>
    <x:row r="158" ht="42" customHeight="1">
      <x:c r="A158" s="21" t="str">
        <x:v>ST-157</x:v>
      </x:c>
      <x:c r="B158" s="21" t="str">
        <x:v>Talk</x:v>
      </x:c>
      <x:c r="C158" s="21" t="str">
        <x:v>Other</x:v>
      </x:c>
      <x:c r="D158" s="17" t="str">
        <x:v>AI Research Frontiers</x:v>
      </x:c>
      <x:c r="E158" s="17" t="str">
        <x:v>AI Education</x:v>
      </x:c>
      <x:c r="F158" s="22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2" t="str">
        <x:v>Conference Keynote</x:v>
      </x:c>
      <x:c r="K158" s="23" t="n">
        <x:v>68</x:v>
      </x:c>
      <x:c r="L158" s="16" t="str">
        <x:v>https://www.youtube.com/watch?v=8a7wBLg5Q8U</x:v>
      </x:c>
      <x:c r="M158" s="21" t="str">
        <x:v>YouTube</x:v>
      </x:c>
      <x:c r="N158" s="24" t="n">
        <x:v>17413</x:v>
      </x:c>
      <x:c r="O158" s="22" t="str">
        <x:v>A | Official / Original Creator / Organizer</x:v>
      </x:c>
      <x:c r="P158" s="22" t="str">
        <x:v>Core</x:v>
      </x:c>
      <x:c r="Q158" s="22" t="str">
        <x:v>Verified</x:v>
      </x:c>
      <x:c r="R158" s="25" t="n">
        <x:v>46244</x:v>
      </x:c>
      <x:c r="S158" s="17" t="str">
        <x:v>Matched to the target official channel; public metadata accessible.</x:v>
      </x:c>
      <x:c r="T158" s="16" t="str">
        <x:v>8a7wBLg5Q8U</x:v>
      </x:c>
    </x:row>
    <x:row r="159" ht="42" customHeight="1">
      <x:c r="A159" s="21" t="str">
        <x:v>ST-158</x:v>
      </x:c>
      <x:c r="B159" s="21" t="str">
        <x:v>Talk</x:v>
      </x:c>
      <x:c r="C159" s="21" t="str">
        <x:v>Other</x:v>
      </x:c>
      <x:c r="D159" s="17" t="str">
        <x:v>Graph Machine Learning</x:v>
      </x:c>
      <x:c r="E159" s="17" t="str">
        <x:v>Graph Machine Learning; AI Education</x:v>
      </x:c>
      <x:c r="F159" s="22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2" t="str">
        <x:v>Public Lecture</x:v>
      </x:c>
      <x:c r="K159" s="23" t="n">
        <x:v>40</x:v>
      </x:c>
      <x:c r="L159" s="16" t="str">
        <x:v>https://www.youtube.com/watch?v=247Mkqj_wRM</x:v>
      </x:c>
      <x:c r="M159" s="21" t="str">
        <x:v>YouTube</x:v>
      </x:c>
      <x:c r="N159" s="24" t="n">
        <x:v>67437</x:v>
      </x:c>
      <x:c r="O159" s="22" t="str">
        <x:v>A | Official / Original Creator / Organizer</x:v>
      </x:c>
      <x:c r="P159" s="22" t="str">
        <x:v>Core</x:v>
      </x:c>
      <x:c r="Q159" s="22" t="str">
        <x:v>Verified</x:v>
      </x:c>
      <x:c r="R159" s="25" t="n">
        <x:v>46244</x:v>
      </x:c>
      <x:c r="S159" s="17" t="str">
        <x:v>Matched to the target official channel; public metadata accessible.</x:v>
      </x:c>
      <x:c r="T159" s="16" t="str">
        <x:v>247Mkqj_wRM</x:v>
      </x:c>
    </x:row>
    <x:row r="160" ht="42" customHeight="1">
      <x:c r="A160" s="21" t="str">
        <x:v>ST-159</x:v>
      </x:c>
      <x:c r="B160" s="21" t="str">
        <x:v>Talk</x:v>
      </x:c>
      <x:c r="C160" s="21" t="str">
        <x:v>Other</x:v>
      </x:c>
      <x:c r="D160" s="17" t="str">
        <x:v>AI Research Frontiers</x:v>
      </x:c>
      <x:c r="E160" s="17" t="str">
        <x:v>AI Research Frontiers</x:v>
      </x:c>
      <x:c r="F160" s="22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2" t="str">
        <x:v>Public Lecture</x:v>
      </x:c>
      <x:c r="K160" s="23" t="n">
        <x:v>69</x:v>
      </x:c>
      <x:c r="L160" s="16" t="str">
        <x:v>https://www.youtube.com/watch?v=e3FThz9jjOI</x:v>
      </x:c>
      <x:c r="M160" s="21" t="str">
        <x:v>YouTube</x:v>
      </x:c>
      <x:c r="N160" s="24" t="n">
        <x:v>766</x:v>
      </x:c>
      <x:c r="O160" s="22" t="str">
        <x:v>A | Official / Original Creator / Organizer</x:v>
      </x:c>
      <x:c r="P160" s="22" t="str">
        <x:v>Core</x:v>
      </x:c>
      <x:c r="Q160" s="22" t="str">
        <x:v>Verified</x:v>
      </x:c>
      <x:c r="R160" s="25" t="n">
        <x:v>46244</x:v>
      </x:c>
      <x:c r="S160" s="17" t="str">
        <x:v>Matched to the target official channel; public metadata accessible.</x:v>
      </x:c>
      <x:c r="T160" s="16" t="str">
        <x:v>e3FThz9jjOI</x:v>
      </x:c>
    </x:row>
    <x:row r="161" ht="42" customHeight="1">
      <x:c r="A161" s="21" t="str">
        <x:v>ST-160</x:v>
      </x:c>
      <x:c r="B161" s="21" t="str">
        <x:v>Talk</x:v>
      </x:c>
      <x:c r="C161" s="21" t="str">
        <x:v>Other</x:v>
      </x:c>
      <x:c r="D161" s="17" t="str">
        <x:v>AI Research Frontiers</x:v>
      </x:c>
      <x:c r="E161" s="17" t="str">
        <x:v>AI Research Frontiers</x:v>
      </x:c>
      <x:c r="F161" s="22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2" t="str">
        <x:v>Conference Keynote</x:v>
      </x:c>
      <x:c r="K161" s="23" t="n">
        <x:v>57</x:v>
      </x:c>
      <x:c r="L161" s="16" t="str">
        <x:v>https://www.youtube.com/watch?v=extVGbnPFMc</x:v>
      </x:c>
      <x:c r="M161" s="21" t="str">
        <x:v>YouTube</x:v>
      </x:c>
      <x:c r="N161" s="24" t="n">
        <x:v>133</x:v>
      </x:c>
      <x:c r="O161" s="22" t="str">
        <x:v>A | Official / Original Creator / Organizer</x:v>
      </x:c>
      <x:c r="P161" s="22" t="str">
        <x:v>Core</x:v>
      </x:c>
      <x:c r="Q161" s="22" t="str">
        <x:v>Verified</x:v>
      </x:c>
      <x:c r="R161" s="25" t="n">
        <x:v>46244</x:v>
      </x:c>
      <x:c r="S161" s="17" t="str">
        <x:v>Matched to the target official channel; public metadata accessible.</x:v>
      </x:c>
      <x:c r="T161" s="16" t="str">
        <x:v>extVGbnPFMc</x:v>
      </x:c>
    </x:row>
    <x:row r="162" ht="42" customHeight="1">
      <x:c r="A162" s="21" t="str">
        <x:v>ST-161</x:v>
      </x:c>
      <x:c r="B162" s="21" t="str">
        <x:v>Talk</x:v>
      </x:c>
      <x:c r="C162" s="21" t="str">
        <x:v>Other</x:v>
      </x:c>
      <x:c r="D162" s="17" t="str">
        <x:v>Graph Machine Learning</x:v>
      </x:c>
      <x:c r="E162" s="17" t="str">
        <x:v>Graph Machine Learning</x:v>
      </x:c>
      <x:c r="F162" s="22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2" t="str">
        <x:v>Research Talk</x:v>
      </x:c>
      <x:c r="K162" s="23" t="n">
        <x:v>59</x:v>
      </x:c>
      <x:c r="L162" s="16" t="str">
        <x:v>https://www.youtube.com/watch?v=zCEYiCxrL_0</x:v>
      </x:c>
      <x:c r="M162" s="21" t="str">
        <x:v>YouTube</x:v>
      </x:c>
      <x:c r="N162" s="24" t="n">
        <x:v>360096</x:v>
      </x:c>
      <x:c r="O162" s="22" t="str">
        <x:v>A | Official / Original Creator / Organizer</x:v>
      </x:c>
      <x:c r="P162" s="22" t="str">
        <x:v>Core</x:v>
      </x:c>
      <x:c r="Q162" s="22" t="str">
        <x:v>Verified</x:v>
      </x:c>
      <x:c r="R162" s="25" t="n">
        <x:v>46244</x:v>
      </x:c>
      <x:c r="S162" s="17" t="str">
        <x:v>Matched to the target official channel; public metadata accessible.</x:v>
      </x:c>
      <x:c r="T162" s="16" t="str">
        <x:v>zCEYiCxrL_0</x:v>
      </x:c>
    </x:row>
    <x:row r="163" ht="42" customHeight="1">
      <x:c r="A163" s="21" t="str">
        <x:v>ST-162</x:v>
      </x:c>
      <x:c r="B163" s="21" t="str">
        <x:v>Talk</x:v>
      </x:c>
      <x:c r="C163" s="21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2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2" t="str">
        <x:v>Research Talk</x:v>
      </x:c>
      <x:c r="K163" s="23" t="n">
        <x:v>53</x:v>
      </x:c>
      <x:c r="L163" s="16" t="str">
        <x:v>https://www.youtube.com/watch?v=1DtMiRKg-cs</x:v>
      </x:c>
      <x:c r="M163" s="21" t="str">
        <x:v>YouTube</x:v>
      </x:c>
      <x:c r="N163" s="24" t="n">
        <x:v>196953</x:v>
      </x:c>
      <x:c r="O163" s="22" t="str">
        <x:v>A | Official / Original Creator / Organizer</x:v>
      </x:c>
      <x:c r="P163" s="22" t="str">
        <x:v>Core</x:v>
      </x:c>
      <x:c r="Q163" s="22" t="str">
        <x:v>Verified</x:v>
      </x:c>
      <x:c r="R163" s="25" t="n">
        <x:v>46244</x:v>
      </x:c>
      <x:c r="S163" s="17" t="str">
        <x:v>Matched to the target official channel; public metadata accessible.</x:v>
      </x:c>
      <x:c r="T163" s="16" t="str">
        <x:v>1DtMiRKg-cs</x:v>
      </x:c>
    </x:row>
    <x:row r="164" ht="42" customHeight="1">
      <x:c r="A164" s="21" t="str">
        <x:v>ST-163</x:v>
      </x:c>
      <x:c r="B164" s="21" t="str">
        <x:v>Talk</x:v>
      </x:c>
      <x:c r="C164" s="21" t="str">
        <x:v>Agent</x:v>
      </x:c>
      <x:c r="D164" s="17" t="str">
        <x:v>Large-Model Systems</x:v>
      </x:c>
      <x:c r="E164" s="17" t="str">
        <x:v>Large Language Models; AI Systems / MLOps; Agents</x:v>
      </x:c>
      <x:c r="F164" s="22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2" t="str">
        <x:v>Research Talk</x:v>
      </x:c>
      <x:c r="K164" s="23" t="n">
        <x:v>57</x:v>
      </x:c>
      <x:c r="L164" s="16" t="str">
        <x:v>https://www.youtube.com/watch?v=kJLiOGle3Lw</x:v>
      </x:c>
      <x:c r="M164" s="21" t="str">
        <x:v>YouTube</x:v>
      </x:c>
      <x:c r="N164" s="24" t="n">
        <x:v>669854</x:v>
      </x:c>
      <x:c r="O164" s="22" t="str">
        <x:v>A | Official / Original Creator / Organizer</x:v>
      </x:c>
      <x:c r="P164" s="22" t="str">
        <x:v>Core</x:v>
      </x:c>
      <x:c r="Q164" s="22" t="str">
        <x:v>Verified</x:v>
      </x:c>
      <x:c r="R164" s="25" t="n">
        <x:v>46244</x:v>
      </x:c>
      <x:c r="S164" s="17" t="str">
        <x:v>Matched to the target official channel; public metadata accessible.</x:v>
      </x:c>
      <x:c r="T164" s="16" t="str">
        <x:v>kJLiOGle3Lw</x:v>
      </x:c>
    </x:row>
    <x:row r="165" ht="42" customHeight="1">
      <x:c r="A165" s="21" t="str">
        <x:v>ST-164</x:v>
      </x:c>
      <x:c r="B165" s="21" t="str">
        <x:v>Talk</x:v>
      </x:c>
      <x:c r="C165" s="21" t="str">
        <x:v>Other</x:v>
      </x:c>
      <x:c r="D165" s="17" t="str">
        <x:v>AI Research Frontiers</x:v>
      </x:c>
      <x:c r="E165" s="17" t="str">
        <x:v>AI Research Frontiers</x:v>
      </x:c>
      <x:c r="F165" s="22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2" t="str">
        <x:v>Conference Keynote</x:v>
      </x:c>
      <x:c r="K165" s="23" t="n">
        <x:v>55</x:v>
      </x:c>
      <x:c r="L165" s="16" t="str">
        <x:v>https://www.youtube.com/watch?v=3D0HcNiJowE</x:v>
      </x:c>
      <x:c r="M165" s="21" t="str">
        <x:v>YouTube</x:v>
      </x:c>
      <x:c r="N165" s="24" t="n">
        <x:v>15</x:v>
      </x:c>
      <x:c r="O165" s="22" t="str">
        <x:v>A | Official / Original Creator / Organizer</x:v>
      </x:c>
      <x:c r="P165" s="22" t="str">
        <x:v>Core</x:v>
      </x:c>
      <x:c r="Q165" s="22" t="str">
        <x:v>Verified</x:v>
      </x:c>
      <x:c r="R165" s="25" t="n">
        <x:v>46244</x:v>
      </x:c>
      <x:c r="S165" s="17" t="str">
        <x:v>Matched to the target official channel; public metadata accessible.</x:v>
      </x:c>
      <x:c r="T165" s="16" t="str">
        <x:v>3D0HcNiJowE</x:v>
      </x:c>
    </x:row>
    <x:row r="166" ht="42" customHeight="1">
      <x:c r="A166" s="21" t="str">
        <x:v>ST-165</x:v>
      </x:c>
      <x:c r="B166" s="21" t="str">
        <x:v>Talk</x:v>
      </x:c>
      <x:c r="C166" s="21" t="str">
        <x:v>Other</x:v>
      </x:c>
      <x:c r="D166" s="17" t="str">
        <x:v>Large-Model Systems</x:v>
      </x:c>
      <x:c r="E166" s="17" t="str">
        <x:v>Large Language Models; AI Systems / MLOps</x:v>
      </x:c>
      <x:c r="F166" s="22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2" t="str">
        <x:v>Research Talk</x:v>
      </x:c>
      <x:c r="K166" s="23" t="n">
        <x:v>66</x:v>
      </x:c>
      <x:c r="L166" s="16" t="str">
        <x:v>https://www.youtube.com/watch?v=ebnX5Ur1hBk</x:v>
      </x:c>
      <x:c r="M166" s="21" t="str">
        <x:v>YouTube</x:v>
      </x:c>
      <x:c r="N166" s="24" t="n">
        <x:v>87732</x:v>
      </x:c>
      <x:c r="O166" s="22" t="str">
        <x:v>A | Official / Original Creator / Organizer</x:v>
      </x:c>
      <x:c r="P166" s="22" t="str">
        <x:v>Core</x:v>
      </x:c>
      <x:c r="Q166" s="22" t="str">
        <x:v>Verified</x:v>
      </x:c>
      <x:c r="R166" s="25" t="n">
        <x:v>46244</x:v>
      </x:c>
      <x:c r="S166" s="17" t="str">
        <x:v>Matched to the target official channel; public metadata accessible.</x:v>
      </x:c>
      <x:c r="T166" s="16" t="str">
        <x:v>ebnX5Ur1hBk</x:v>
      </x:c>
    </x:row>
    <x:row r="167" ht="42" customHeight="1">
      <x:c r="A167" s="21" t="str">
        <x:v>ST-166</x:v>
      </x:c>
      <x:c r="B167" s="21" t="str">
        <x:v>Talk</x:v>
      </x:c>
      <x:c r="C167" s="21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2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2" t="str">
        <x:v>Research Talk</x:v>
      </x:c>
      <x:c r="K167" s="23" t="n">
        <x:v>50</x:v>
      </x:c>
      <x:c r="L167" s="16" t="str">
        <x:v>https://www.youtube.com/watch?v=zzXyPGEtseI</x:v>
      </x:c>
      <x:c r="M167" s="21" t="str">
        <x:v>YouTube</x:v>
      </x:c>
      <x:c r="N167" s="24" t="n">
        <x:v>452549</x:v>
      </x:c>
      <x:c r="O167" s="22" t="str">
        <x:v>A | Official / Original Creator / Organizer</x:v>
      </x:c>
      <x:c r="P167" s="22" t="str">
        <x:v>Core</x:v>
      </x:c>
      <x:c r="Q167" s="22" t="str">
        <x:v>Verified</x:v>
      </x:c>
      <x:c r="R167" s="25" t="n">
        <x:v>46244</x:v>
      </x:c>
      <x:c r="S167" s="17" t="str">
        <x:v>Matched to the target official channel; public metadata accessible.</x:v>
      </x:c>
      <x:c r="T167" s="16" t="str">
        <x:v>zzXyPGEtseI</x:v>
      </x:c>
    </x:row>
    <x:row r="168" ht="42" customHeight="1">
      <x:c r="A168" s="21" t="str">
        <x:v>ST-167</x:v>
      </x:c>
      <x:c r="B168" s="21" t="str">
        <x:v>Talk</x:v>
      </x:c>
      <x:c r="C168" s="21" t="str">
        <x:v>Other</x:v>
      </x:c>
      <x:c r="D168" s="17" t="str">
        <x:v>AI Systems / Infrastructure</x:v>
      </x:c>
      <x:c r="E168" s="17" t="str">
        <x:v>AI Systems / MLOps</x:v>
      </x:c>
      <x:c r="F168" s="22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2" t="str">
        <x:v>Research Seminar</x:v>
      </x:c>
      <x:c r="K168" s="23" t="n">
        <x:v>67</x:v>
      </x:c>
      <x:c r="L168" s="16" t="str">
        <x:v>https://www.youtube.com/watch?v=c_AUuTuPA5k</x:v>
      </x:c>
      <x:c r="M168" s="21" t="str">
        <x:v>YouTube</x:v>
      </x:c>
      <x:c r="N168" s="24" t="n">
        <x:v>69674</x:v>
      </x:c>
      <x:c r="O168" s="22" t="str">
        <x:v>A | Official / Original Creator / Organizer</x:v>
      </x:c>
      <x:c r="P168" s="22" t="str">
        <x:v>Core</x:v>
      </x:c>
      <x:c r="Q168" s="22" t="str">
        <x:v>Verified</x:v>
      </x:c>
      <x:c r="R168" s="25" t="n">
        <x:v>46244</x:v>
      </x:c>
      <x:c r="S168" s="17" t="str">
        <x:v>Matched to the target official channel; public metadata accessible.</x:v>
      </x:c>
      <x:c r="T168" s="16" t="str">
        <x:v>c_AUuTuPA5k</x:v>
      </x:c>
    </x:row>
    <x:row r="169" ht="42" customHeight="1">
      <x:c r="A169" s="21" t="str">
        <x:v>ST-168</x:v>
      </x:c>
      <x:c r="B169" s="21" t="str">
        <x:v>Talk</x:v>
      </x:c>
      <x:c r="C169" s="21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2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2" t="str">
        <x:v>Research Talk</x:v>
      </x:c>
      <x:c r="K169" s="23" t="n">
        <x:v>78</x:v>
      </x:c>
      <x:c r="L169" s="16" t="str">
        <x:v>https://www.youtube.com/watch?v=fz8wf9hN20c</x:v>
      </x:c>
      <x:c r="M169" s="21" t="str">
        <x:v>YouTube</x:v>
      </x:c>
      <x:c r="N169" s="24" t="n">
        <x:v>16352</x:v>
      </x:c>
      <x:c r="O169" s="22" t="str">
        <x:v>A | Official / Original Creator / Organizer</x:v>
      </x:c>
      <x:c r="P169" s="22" t="str">
        <x:v>Core</x:v>
      </x:c>
      <x:c r="Q169" s="22" t="str">
        <x:v>Verified</x:v>
      </x:c>
      <x:c r="R169" s="25" t="n">
        <x:v>46244</x:v>
      </x:c>
      <x:c r="S169" s="17" t="str">
        <x:v>Matched to the target official channel; public metadata accessible.</x:v>
      </x:c>
      <x:c r="T169" s="16" t="str">
        <x:v>fz8wf9hN20c</x:v>
      </x:c>
    </x:row>
    <x:row r="170" ht="42" customHeight="1">
      <x:c r="A170" s="21" t="str">
        <x:v>ST-169</x:v>
      </x:c>
      <x:c r="B170" s="21" t="str">
        <x:v>Talk</x:v>
      </x:c>
      <x:c r="C170" s="21" t="str">
        <x:v>Other</x:v>
      </x:c>
      <x:c r="D170" s="17" t="str">
        <x:v>AI Research Frontiers</x:v>
      </x:c>
      <x:c r="E170" s="17" t="str">
        <x:v>Multimodal Learning</x:v>
      </x:c>
      <x:c r="F170" s="22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2" t="str">
        <x:v>Research Talk</x:v>
      </x:c>
      <x:c r="K170" s="23" t="n">
        <x:v>79</x:v>
      </x:c>
      <x:c r="L170" s="16" t="str">
        <x:v>https://www.youtube.com/watch?v=YYKpS-Y75LY</x:v>
      </x:c>
      <x:c r="M170" s="21" t="str">
        <x:v>YouTube</x:v>
      </x:c>
      <x:c r="N170" s="24" t="n">
        <x:v>2714</x:v>
      </x:c>
      <x:c r="O170" s="22" t="str">
        <x:v>A | Official / Original Creator / Organizer</x:v>
      </x:c>
      <x:c r="P170" s="22" t="str">
        <x:v>Core</x:v>
      </x:c>
      <x:c r="Q170" s="22" t="str">
        <x:v>Verified</x:v>
      </x:c>
      <x:c r="R170" s="25" t="n">
        <x:v>46244</x:v>
      </x:c>
      <x:c r="S170" s="17" t="str">
        <x:v>Matched to the target official channel; public metadata accessible.</x:v>
      </x:c>
      <x:c r="T170" s="16" t="str">
        <x:v>YYKpS-Y75LY</x:v>
      </x:c>
    </x:row>
    <x:row r="171" ht="42" customHeight="1">
      <x:c r="A171" s="21" t="str">
        <x:v>ST-170</x:v>
      </x:c>
      <x:c r="B171" s="21" t="str">
        <x:v>Talk</x:v>
      </x:c>
      <x:c r="C171" s="21" t="str">
        <x:v>Other</x:v>
      </x:c>
      <x:c r="D171" s="17" t="str">
        <x:v>AI and Society</x:v>
      </x:c>
      <x:c r="E171" s="17" t="str">
        <x:v>AI and Society</x:v>
      </x:c>
      <x:c r="F171" s="22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2" t="str">
        <x:v>Research Seminar</x:v>
      </x:c>
      <x:c r="K171" s="23" t="n">
        <x:v>74</x:v>
      </x:c>
      <x:c r="L171" s="16" t="str">
        <x:v>https://www.youtube.com/watch?v=D03EJhztsHQ</x:v>
      </x:c>
      <x:c r="M171" s="21" t="str">
        <x:v>YouTube</x:v>
      </x:c>
      <x:c r="N171" s="24" t="n">
        <x:v>20759</x:v>
      </x:c>
      <x:c r="O171" s="22" t="str">
        <x:v>A | Official / Original Creator / Organizer</x:v>
      </x:c>
      <x:c r="P171" s="22" t="str">
        <x:v>Core</x:v>
      </x:c>
      <x:c r="Q171" s="22" t="str">
        <x:v>Verified</x:v>
      </x:c>
      <x:c r="R171" s="25" t="n">
        <x:v>46244</x:v>
      </x:c>
      <x:c r="S171" s="17" t="str">
        <x:v>Matched to the target official channel; public metadata accessible.</x:v>
      </x:c>
      <x:c r="T171" s="16" t="str">
        <x:v>D03EJhztsHQ</x:v>
      </x:c>
    </x:row>
    <x:row r="172" ht="42" customHeight="1">
      <x:c r="A172" s="21" t="str">
        <x:v>ST-171</x:v>
      </x:c>
      <x:c r="B172" s="21" t="str">
        <x:v>Talk</x:v>
      </x:c>
      <x:c r="C172" s="21" t="str">
        <x:v>Other</x:v>
      </x:c>
      <x:c r="D172" s="17" t="str">
        <x:v>AI Research Frontiers</x:v>
      </x:c>
      <x:c r="E172" s="17" t="str">
        <x:v>AI Research Frontiers</x:v>
      </x:c>
      <x:c r="F172" s="22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2" t="str">
        <x:v>Research Talk</x:v>
      </x:c>
      <x:c r="K172" s="23" t="n">
        <x:v>22</x:v>
      </x:c>
      <x:c r="L172" s="16" t="str">
        <x:v>https://www.youtube.com/watch?v=UwyRYSQ5CGU</x:v>
      </x:c>
      <x:c r="M172" s="21" t="str">
        <x:v>YouTube</x:v>
      </x:c>
      <x:c r="N172" s="24" t="n">
        <x:v>4432</x:v>
      </x:c>
      <x:c r="O172" s="22" t="str">
        <x:v>A | Official / Original Creator / Organizer</x:v>
      </x:c>
      <x:c r="P172" s="22" t="str">
        <x:v>Core</x:v>
      </x:c>
      <x:c r="Q172" s="22" t="str">
        <x:v>Verified</x:v>
      </x:c>
      <x:c r="R172" s="25" t="n">
        <x:v>46244</x:v>
      </x:c>
      <x:c r="S172" s="17" t="str">
        <x:v>Matched to the target official channel; public metadata accessible.</x:v>
      </x:c>
      <x:c r="T172" s="16" t="str">
        <x:v>UwyRYSQ5CGU</x:v>
      </x:c>
    </x:row>
    <x:row r="173" ht="42" customHeight="1">
      <x:c r="A173" s="21" t="str">
        <x:v>ST-172</x:v>
      </x:c>
      <x:c r="B173" s="21" t="str">
        <x:v>Talk</x:v>
      </x:c>
      <x:c r="C173" s="21" t="str">
        <x:v>Vision</x:v>
      </x:c>
      <x:c r="D173" s="17" t="str">
        <x:v>Computer Vision</x:v>
      </x:c>
      <x:c r="E173" s="17" t="str">
        <x:v>Computer Vision</x:v>
      </x:c>
      <x:c r="F173" s="22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2" t="str">
        <x:v>Conference Keynote</x:v>
      </x:c>
      <x:c r="K173" s="23" t="n">
        <x:v>23</x:v>
      </x:c>
      <x:c r="L173" s="16" t="str">
        <x:v>https://www.youtube.com/watch?v=YO5fnaRm5L0</x:v>
      </x:c>
      <x:c r="M173" s="21" t="str">
        <x:v>YouTube</x:v>
      </x:c>
      <x:c r="N173" s="24" t="n">
        <x:v>3032</x:v>
      </x:c>
      <x:c r="O173" s="22" t="str">
        <x:v>A | Official / Original Creator / Organizer</x:v>
      </x:c>
      <x:c r="P173" s="22" t="str">
        <x:v>Core</x:v>
      </x:c>
      <x:c r="Q173" s="22" t="str">
        <x:v>Verified</x:v>
      </x:c>
      <x:c r="R173" s="25" t="n">
        <x:v>46244</x:v>
      </x:c>
      <x:c r="S173" s="17" t="str">
        <x:v>Matched to the target official channel; public metadata accessible.</x:v>
      </x:c>
      <x:c r="T173" s="16" t="str">
        <x:v>YO5fnaRm5L0</x:v>
      </x:c>
    </x:row>
    <x:row r="174" ht="42" customHeight="1">
      <x:c r="A174" s="21" t="str">
        <x:v>ST-173</x:v>
      </x:c>
      <x:c r="B174" s="21" t="str">
        <x:v>Talk</x:v>
      </x:c>
      <x:c r="C174" s="21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2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2" t="str">
        <x:v>Research Seminar</x:v>
      </x:c>
      <x:c r="K174" s="23" t="n">
        <x:v>53</x:v>
      </x:c>
      <x:c r="L174" s="16" t="str">
        <x:v>https://www.youtube.com/watch?v=JfZYtpEisoM</x:v>
      </x:c>
      <x:c r="M174" s="21" t="str">
        <x:v>YouTube</x:v>
      </x:c>
      <x:c r="N174" s="24" t="n">
        <x:v>4797</x:v>
      </x:c>
      <x:c r="O174" s="22" t="str">
        <x:v>A | Official / Original Creator / Organizer</x:v>
      </x:c>
      <x:c r="P174" s="22" t="str">
        <x:v>Core</x:v>
      </x:c>
      <x:c r="Q174" s="22" t="str">
        <x:v>Verified</x:v>
      </x:c>
      <x:c r="R174" s="25" t="n">
        <x:v>46244</x:v>
      </x:c>
      <x:c r="S174" s="17" t="str">
        <x:v>Matched to the target official channel; public metadata accessible.</x:v>
      </x:c>
      <x:c r="T174" s="16" t="str">
        <x:v>JfZYtpEisoM</x:v>
      </x:c>
    </x:row>
    <x:row r="175" ht="42" customHeight="1">
      <x:c r="A175" s="21" t="str">
        <x:v>ST-174</x:v>
      </x:c>
      <x:c r="B175" s="21" t="str">
        <x:v>Talk</x:v>
      </x:c>
      <x:c r="C175" s="21" t="str">
        <x:v>Other</x:v>
      </x:c>
      <x:c r="D175" s="17" t="str">
        <x:v>AI Research Frontiers</x:v>
      </x:c>
      <x:c r="E175" s="17" t="str">
        <x:v>Large Language Models</x:v>
      </x:c>
      <x:c r="F175" s="22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2" t="str">
        <x:v>Research Talk</x:v>
      </x:c>
      <x:c r="K175" s="23" t="n">
        <x:v>13</x:v>
      </x:c>
      <x:c r="L175" s="16" t="str">
        <x:v>https://www.youtube.com/watch?v=9uv1Nd1lRio</x:v>
      </x:c>
      <x:c r="M175" s="21" t="str">
        <x:v>YouTube</x:v>
      </x:c>
      <x:c r="N175" s="24" t="n">
        <x:v>1455</x:v>
      </x:c>
      <x:c r="O175" s="22" t="str">
        <x:v>A | Official / Original Creator / Organizer</x:v>
      </x:c>
      <x:c r="P175" s="22" t="str">
        <x:v>Core</x:v>
      </x:c>
      <x:c r="Q175" s="22" t="str">
        <x:v>Verified</x:v>
      </x:c>
      <x:c r="R175" s="25" t="n">
        <x:v>46244</x:v>
      </x:c>
      <x:c r="S175" s="17" t="str">
        <x:v>Matched to the target official channel; public metadata accessible.</x:v>
      </x:c>
      <x:c r="T175" s="16" t="str">
        <x:v>9uv1Nd1lRio</x:v>
      </x:c>
    </x:row>
    <x:row r="176" ht="42" customHeight="1">
      <x:c r="A176" s="21" t="str">
        <x:v>ST-175</x:v>
      </x:c>
      <x:c r="B176" s="21" t="str">
        <x:v>Talk</x:v>
      </x:c>
      <x:c r="C176" s="21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2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2" t="str">
        <x:v>Research Talk</x:v>
      </x:c>
      <x:c r="K176" s="23" t="n">
        <x:v>56</x:v>
      </x:c>
      <x:c r="L176" s="16" t="str">
        <x:v>https://www.youtube.com/watch?v=PqVbypvxDto</x:v>
      </x:c>
      <x:c r="M176" s="21" t="str">
        <x:v>YouTube</x:v>
      </x:c>
      <x:c r="N176" s="24" t="n">
        <x:v>10649975</x:v>
      </x:c>
      <x:c r="O176" s="22" t="str">
        <x:v>A | Official / Original Creator / Organizer</x:v>
      </x:c>
      <x:c r="P176" s="22" t="str">
        <x:v>Core</x:v>
      </x:c>
      <x:c r="Q176" s="22" t="str">
        <x:v>Verified</x:v>
      </x:c>
      <x:c r="R176" s="25" t="n">
        <x:v>46244</x:v>
      </x:c>
      <x:c r="S176" s="17" t="str">
        <x:v>Matched to the target official channel; public metadata accessible.</x:v>
      </x:c>
      <x:c r="T176" s="16" t="str">
        <x:v>PqVbypvxDto</x:v>
      </x:c>
    </x:row>
    <x:row r="177" ht="42" customHeight="1">
      <x:c r="A177" s="21" t="str">
        <x:v>ST-176</x:v>
      </x:c>
      <x:c r="B177" s="21" t="str">
        <x:v>Talk</x:v>
      </x:c>
      <x:c r="C177" s="21" t="str">
        <x:v>Other</x:v>
      </x:c>
      <x:c r="D177" s="17" t="str">
        <x:v>AI and Society</x:v>
      </x:c>
      <x:c r="E177" s="17" t="str">
        <x:v>AI Education</x:v>
      </x:c>
      <x:c r="F177" s="22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2" t="str">
        <x:v>Research Seminar</x:v>
      </x:c>
      <x:c r="K177" s="23" t="n">
        <x:v>72</x:v>
      </x:c>
      <x:c r="L177" s="16" t="str">
        <x:v>https://www.youtube.com/watch?v=iOyaj5u0-DY</x:v>
      </x:c>
      <x:c r="M177" s="21" t="str">
        <x:v>YouTube</x:v>
      </x:c>
      <x:c r="N177" s="24" t="n">
        <x:v>845</x:v>
      </x:c>
      <x:c r="O177" s="22" t="str">
        <x:v>A | Official / Original Creator / Organizer</x:v>
      </x:c>
      <x:c r="P177" s="22" t="str">
        <x:v>Core</x:v>
      </x:c>
      <x:c r="Q177" s="22" t="str">
        <x:v>Verified</x:v>
      </x:c>
      <x:c r="R177" s="25" t="n">
        <x:v>46244</x:v>
      </x:c>
      <x:c r="S177" s="17" t="str">
        <x:v>Matched to the target official channel; public metadata accessible.</x:v>
      </x:c>
      <x:c r="T177" s="16" t="str">
        <x:v>iOyaj5u0-DY</x:v>
      </x:c>
    </x:row>
    <x:row r="178" ht="42" customHeight="1">
      <x:c r="A178" s="21" t="str">
        <x:v>ST-177</x:v>
      </x:c>
      <x:c r="B178" s="21" t="str">
        <x:v>Talk</x:v>
      </x:c>
      <x:c r="C178" s="21" t="str">
        <x:v>Other</x:v>
      </x:c>
      <x:c r="D178" s="17" t="str">
        <x:v>AI Research Frontiers</x:v>
      </x:c>
      <x:c r="E178" s="17" t="str">
        <x:v>AI Systems / MLOps</x:v>
      </x:c>
      <x:c r="F178" s="22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2" t="str">
        <x:v>Public Lecture</x:v>
      </x:c>
      <x:c r="K178" s="23" t="n">
        <x:v>80</x:v>
      </x:c>
      <x:c r="L178" s="16" t="str">
        <x:v>https://www.youtube.com/watch?v=gWZ5cpxX3wc</x:v>
      </x:c>
      <x:c r="M178" s="21" t="str">
        <x:v>YouTube</x:v>
      </x:c>
      <x:c r="N178" s="24" t="n">
        <x:v>3779</x:v>
      </x:c>
      <x:c r="O178" s="22" t="str">
        <x:v>A | Official / Original Creator / Organizer</x:v>
      </x:c>
      <x:c r="P178" s="22" t="str">
        <x:v>Core</x:v>
      </x:c>
      <x:c r="Q178" s="22" t="str">
        <x:v>Verified</x:v>
      </x:c>
      <x:c r="R178" s="25" t="n">
        <x:v>46244</x:v>
      </x:c>
      <x:c r="S178" s="17" t="str">
        <x:v>Matched to the target official channel; public metadata accessible.</x:v>
      </x:c>
      <x:c r="T178" s="16" t="str">
        <x:v>gWZ5cpxX3wc</x:v>
      </x:c>
    </x:row>
    <x:row r="179" ht="42" customHeight="1">
      <x:c r="A179" s="21" t="str">
        <x:v>ST-178</x:v>
      </x:c>
      <x:c r="B179" s="21" t="str">
        <x:v>Talk</x:v>
      </x:c>
      <x:c r="C179" s="21" t="str">
        <x:v>Other</x:v>
      </x:c>
      <x:c r="D179" s="17" t="str">
        <x:v>AI Systems / Infrastructure</x:v>
      </x:c>
      <x:c r="E179" s="17" t="str">
        <x:v>AI Systems / MLOps</x:v>
      </x:c>
      <x:c r="F179" s="22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2" t="str">
        <x:v>Research Seminar</x:v>
      </x:c>
      <x:c r="K179" s="23" t="n">
        <x:v>58</x:v>
      </x:c>
      <x:c r="L179" s="16" t="str">
        <x:v>https://www.youtube.com/watch?v=R7N3quJcGNQ</x:v>
      </x:c>
      <x:c r="M179" s="21" t="str">
        <x:v>YouTube</x:v>
      </x:c>
      <x:c r="N179" s="24" t="n">
        <x:v>2026</x:v>
      </x:c>
      <x:c r="O179" s="22" t="str">
        <x:v>A | Official / Original Creator / Organizer</x:v>
      </x:c>
      <x:c r="P179" s="22" t="str">
        <x:v>Core</x:v>
      </x:c>
      <x:c r="Q179" s="22" t="str">
        <x:v>Verified</x:v>
      </x:c>
      <x:c r="R179" s="25" t="n">
        <x:v>46244</x:v>
      </x:c>
      <x:c r="S179" s="17" t="str">
        <x:v>Matched to the target official channel; public metadata accessible.</x:v>
      </x:c>
      <x:c r="T179" s="16" t="str">
        <x:v>R7N3quJcGNQ</x:v>
      </x:c>
    </x:row>
    <x:row r="180" ht="42" customHeight="1">
      <x:c r="A180" s="21" t="str">
        <x:v>ST-179</x:v>
      </x:c>
      <x:c r="B180" s="21" t="str">
        <x:v>Talk</x:v>
      </x:c>
      <x:c r="C180" s="21" t="str">
        <x:v>Other</x:v>
      </x:c>
      <x:c r="D180" s="17" t="str">
        <x:v>AI and Society</x:v>
      </x:c>
      <x:c r="E180" s="17" t="str">
        <x:v>AI and Society</x:v>
      </x:c>
      <x:c r="F180" s="22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2" t="str">
        <x:v>Research Seminar</x:v>
      </x:c>
      <x:c r="K180" s="23" t="n">
        <x:v>70</x:v>
      </x:c>
      <x:c r="L180" s="16" t="str">
        <x:v>https://www.youtube.com/watch?v=JLExuoRei9w</x:v>
      </x:c>
      <x:c r="M180" s="21" t="str">
        <x:v>YouTube</x:v>
      </x:c>
      <x:c r="N180" s="24" t="n">
        <x:v>3493</x:v>
      </x:c>
      <x:c r="O180" s="22" t="str">
        <x:v>A | Official / Original Creator / Organizer</x:v>
      </x:c>
      <x:c r="P180" s="22" t="str">
        <x:v>Core</x:v>
      </x:c>
      <x:c r="Q180" s="22" t="str">
        <x:v>Verified</x:v>
      </x:c>
      <x:c r="R180" s="25" t="n">
        <x:v>46244</x:v>
      </x:c>
      <x:c r="S180" s="17" t="str">
        <x:v>Matched to the target official channel; public metadata accessible.</x:v>
      </x:c>
      <x:c r="T180" s="16" t="str">
        <x:v>JLExuoRei9w</x:v>
      </x:c>
    </x:row>
    <x:row r="181" ht="42" customHeight="1">
      <x:c r="A181" s="21" t="str">
        <x:v>ST-180</x:v>
      </x:c>
      <x:c r="B181" s="21" t="str">
        <x:v>Talk</x:v>
      </x:c>
      <x:c r="C181" s="21" t="str">
        <x:v>Other</x:v>
      </x:c>
      <x:c r="D181" s="17" t="str">
        <x:v>AI and Society</x:v>
      </x:c>
      <x:c r="E181" s="17" t="str">
        <x:v>AI and Society</x:v>
      </x:c>
      <x:c r="F181" s="22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2" t="str">
        <x:v>Research Seminar</x:v>
      </x:c>
      <x:c r="K181" s="23" t="n">
        <x:v>72</x:v>
      </x:c>
      <x:c r="L181" s="16" t="str">
        <x:v>https://www.youtube.com/watch?v=IQHWZSmczXY</x:v>
      </x:c>
      <x:c r="M181" s="21" t="str">
        <x:v>YouTube</x:v>
      </x:c>
      <x:c r="N181" s="24" t="n">
        <x:v>1093</x:v>
      </x:c>
      <x:c r="O181" s="22" t="str">
        <x:v>A | Official / Original Creator / Organizer</x:v>
      </x:c>
      <x:c r="P181" s="22" t="str">
        <x:v>Core</x:v>
      </x:c>
      <x:c r="Q181" s="22" t="str">
        <x:v>Verified</x:v>
      </x:c>
      <x:c r="R181" s="25" t="n">
        <x:v>46244</x:v>
      </x:c>
      <x:c r="S181" s="17" t="str">
        <x:v>Matched to the target official channel; public metadata accessible.</x:v>
      </x:c>
      <x:c r="T181" s="16" t="str">
        <x:v>IQHWZSmczXY</x:v>
      </x:c>
    </x:row>
    <x:row r="182" ht="42" customHeight="1">
      <x:c r="A182" s="21" t="str">
        <x:v>ST-181</x:v>
      </x:c>
      <x:c r="B182" s="21" t="str">
        <x:v>Talk</x:v>
      </x:c>
      <x:c r="C182" s="21" t="str">
        <x:v>Vision</x:v>
      </x:c>
      <x:c r="D182" s="17" t="str">
        <x:v>Computer Vision</x:v>
      </x:c>
      <x:c r="E182" s="17" t="str">
        <x:v>Computer Vision</x:v>
      </x:c>
      <x:c r="F182" s="22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2" t="str">
        <x:v>Conference Keynote</x:v>
      </x:c>
      <x:c r="K182" s="23" t="n">
        <x:v>30</x:v>
      </x:c>
      <x:c r="L182" s="16" t="str">
        <x:v>https://www.youtube.com/watch?v=Lk_X08NejX0</x:v>
      </x:c>
      <x:c r="M182" s="21" t="str">
        <x:v>YouTube</x:v>
      </x:c>
      <x:c r="N182" s="24" t="n">
        <x:v>1943</x:v>
      </x:c>
      <x:c r="O182" s="22" t="str">
        <x:v>A | Official / Original Creator / Organizer</x:v>
      </x:c>
      <x:c r="P182" s="22" t="str">
        <x:v>Core</x:v>
      </x:c>
      <x:c r="Q182" s="22" t="str">
        <x:v>Verified</x:v>
      </x:c>
      <x:c r="R182" s="25" t="n">
        <x:v>46244</x:v>
      </x:c>
      <x:c r="S182" s="17" t="str">
        <x:v>Matched to the target official channel; public metadata accessible.</x:v>
      </x:c>
      <x:c r="T182" s="16" t="str">
        <x:v>Lk_X08NejX0</x:v>
      </x:c>
    </x:row>
    <x:row r="183" ht="42" customHeight="1">
      <x:c r="A183" s="21" t="str">
        <x:v>ST-182</x:v>
      </x:c>
      <x:c r="B183" s="21" t="str">
        <x:v>Talk</x:v>
      </x:c>
      <x:c r="C183" s="21" t="str">
        <x:v>Other</x:v>
      </x:c>
      <x:c r="D183" s="17" t="str">
        <x:v>AI Systems / Infrastructure</x:v>
      </x:c>
      <x:c r="E183" s="17" t="str">
        <x:v>AI Systems / MLOps; AI Education</x:v>
      </x:c>
      <x:c r="F183" s="22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2" t="str">
        <x:v>Research Seminar</x:v>
      </x:c>
      <x:c r="K183" s="23" t="n">
        <x:v>61</x:v>
      </x:c>
      <x:c r="L183" s="16" t="str">
        <x:v>https://www.youtube.com/watch?v=BTkl_qc0Plc</x:v>
      </x:c>
      <x:c r="M183" s="21" t="str">
        <x:v>YouTube</x:v>
      </x:c>
      <x:c r="N183" s="24" t="n">
        <x:v>2190</x:v>
      </x:c>
      <x:c r="O183" s="22" t="str">
        <x:v>A | Official / Original Creator / Organizer</x:v>
      </x:c>
      <x:c r="P183" s="22" t="str">
        <x:v>Core</x:v>
      </x:c>
      <x:c r="Q183" s="22" t="str">
        <x:v>Verified</x:v>
      </x:c>
      <x:c r="R183" s="25" t="n">
        <x:v>46244</x:v>
      </x:c>
      <x:c r="S183" s="17" t="str">
        <x:v>Matched to the target official channel; public metadata accessible.</x:v>
      </x:c>
      <x:c r="T183" s="16" t="str">
        <x:v>BTkl_qc0Plc</x:v>
      </x:c>
    </x:row>
    <x:row r="184" ht="42" customHeight="1">
      <x:c r="A184" s="21" t="str">
        <x:v>ST-183</x:v>
      </x:c>
      <x:c r="B184" s="21" t="str">
        <x:v>Talk</x:v>
      </x:c>
      <x:c r="C184" s="21" t="str">
        <x:v>Vision</x:v>
      </x:c>
      <x:c r="D184" s="17" t="str">
        <x:v>Computer Vision</x:v>
      </x:c>
      <x:c r="E184" s="17" t="str">
        <x:v>Computer Vision</x:v>
      </x:c>
      <x:c r="F184" s="22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2" t="str">
        <x:v>Conference Keynote</x:v>
      </x:c>
      <x:c r="K184" s="23" t="n">
        <x:v>33</x:v>
      </x:c>
      <x:c r="L184" s="16" t="str">
        <x:v>https://www.youtube.com/watch?v=N-A5qnYXw_U</x:v>
      </x:c>
      <x:c r="M184" s="21" t="str">
        <x:v>YouTube</x:v>
      </x:c>
      <x:c r="N184" s="24" t="n">
        <x:v>3168</x:v>
      </x:c>
      <x:c r="O184" s="22" t="str">
        <x:v>A | Official / Original Creator / Organizer</x:v>
      </x:c>
      <x:c r="P184" s="22" t="str">
        <x:v>Core</x:v>
      </x:c>
      <x:c r="Q184" s="22" t="str">
        <x:v>Verified</x:v>
      </x:c>
      <x:c r="R184" s="25" t="n">
        <x:v>46244</x:v>
      </x:c>
      <x:c r="S184" s="17" t="str">
        <x:v>Matched to the target official channel; public metadata accessible.</x:v>
      </x:c>
      <x:c r="T184" s="16" t="str">
        <x:v>N-A5qnYXw_U</x:v>
      </x:c>
    </x:row>
    <x:row r="185" ht="42" customHeight="1">
      <x:c r="A185" s="21" t="str">
        <x:v>ST-184</x:v>
      </x:c>
      <x:c r="B185" s="21" t="str">
        <x:v>Talk</x:v>
      </x:c>
      <x:c r="C185" s="21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2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2" t="str">
        <x:v>Research Talk</x:v>
      </x:c>
      <x:c r="K185" s="23" t="n">
        <x:v>42</x:v>
      </x:c>
      <x:c r="L185" s="16" t="str">
        <x:v>https://www.youtube.com/watch?v=LDggERm4yfA</x:v>
      </x:c>
      <x:c r="M185" s="21" t="str">
        <x:v>YouTube</x:v>
      </x:c>
      <x:c r="N185" s="24" t="n">
        <x:v>2766</x:v>
      </x:c>
      <x:c r="O185" s="22" t="str">
        <x:v>A | Official / Original Creator / Organizer</x:v>
      </x:c>
      <x:c r="P185" s="22" t="str">
        <x:v>Core</x:v>
      </x:c>
      <x:c r="Q185" s="22" t="str">
        <x:v>Verified</x:v>
      </x:c>
      <x:c r="R185" s="25" t="n">
        <x:v>46244</x:v>
      </x:c>
      <x:c r="S185" s="17" t="str">
        <x:v>Matched to the target official channel; public metadata accessible.</x:v>
      </x:c>
      <x:c r="T185" s="16" t="str">
        <x:v>LDggERm4yfA</x:v>
      </x:c>
    </x:row>
    <x:row r="186" ht="42" customHeight="1">
      <x:c r="A186" s="21" t="str">
        <x:v>ST-185</x:v>
      </x:c>
      <x:c r="B186" s="21" t="str">
        <x:v>Talk</x:v>
      </x:c>
      <x:c r="C186" s="21" t="str">
        <x:v>Robotics</x:v>
      </x:c>
      <x:c r="D186" s="17" t="str">
        <x:v>Robotics / Embodied AI</x:v>
      </x:c>
      <x:c r="E186" s="17" t="str">
        <x:v>Robotics / Embodied AI; AI Education</x:v>
      </x:c>
      <x:c r="F186" s="22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2" t="str">
        <x:v>Research Seminar</x:v>
      </x:c>
      <x:c r="K186" s="23" t="n">
        <x:v>67</x:v>
      </x:c>
      <x:c r="L186" s="16" t="str">
        <x:v>https://www.youtube.com/watch?v=Oabu6Gz1op0</x:v>
      </x:c>
      <x:c r="M186" s="21" t="str">
        <x:v>YouTube</x:v>
      </x:c>
      <x:c r="N186" s="24" t="n">
        <x:v>3239</x:v>
      </x:c>
      <x:c r="O186" s="22" t="str">
        <x:v>A | Official / Original Creator / Organizer</x:v>
      </x:c>
      <x:c r="P186" s="22" t="str">
        <x:v>Core</x:v>
      </x:c>
      <x:c r="Q186" s="22" t="str">
        <x:v>Verified</x:v>
      </x:c>
      <x:c r="R186" s="25" t="n">
        <x:v>46244</x:v>
      </x:c>
      <x:c r="S186" s="17" t="str">
        <x:v>Matched to the target official channel; public metadata accessible.</x:v>
      </x:c>
      <x:c r="T186" s="16" t="str">
        <x:v>Oabu6Gz1op0</x:v>
      </x:c>
    </x:row>
    <x:row r="187" ht="42" customHeight="1">
      <x:c r="A187" s="21" t="str">
        <x:v>ST-186</x:v>
      </x:c>
      <x:c r="B187" s="21" t="str">
        <x:v>Talk</x:v>
      </x:c>
      <x:c r="C187" s="21" t="str">
        <x:v>Other</x:v>
      </x:c>
      <x:c r="D187" s="17" t="str">
        <x:v>AI and Society</x:v>
      </x:c>
      <x:c r="E187" s="17" t="str">
        <x:v>AI and Society</x:v>
      </x:c>
      <x:c r="F187" s="22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2" t="str">
        <x:v>Research Seminar</x:v>
      </x:c>
      <x:c r="K187" s="23" t="n">
        <x:v>60</x:v>
      </x:c>
      <x:c r="L187" s="16" t="str">
        <x:v>https://www.youtube.com/watch?v=89GblVSnRPE</x:v>
      </x:c>
      <x:c r="M187" s="21" t="str">
        <x:v>YouTube</x:v>
      </x:c>
      <x:c r="N187" s="24" t="n">
        <x:v>659</x:v>
      </x:c>
      <x:c r="O187" s="22" t="str">
        <x:v>A | Official / Original Creator / Organizer</x:v>
      </x:c>
      <x:c r="P187" s="22" t="str">
        <x:v>Core</x:v>
      </x:c>
      <x:c r="Q187" s="22" t="str">
        <x:v>Verified</x:v>
      </x:c>
      <x:c r="R187" s="25" t="n">
        <x:v>46244</x:v>
      </x:c>
      <x:c r="S187" s="17" t="str">
        <x:v>Matched to the target official channel; public metadata accessible.</x:v>
      </x:c>
      <x:c r="T187" s="16" t="str">
        <x:v>89GblVSnRPE</x:v>
      </x:c>
    </x:row>
    <x:row r="188" ht="42" customHeight="1">
      <x:c r="A188" s="21" t="str">
        <x:v>ST-187</x:v>
      </x:c>
      <x:c r="B188" s="21" t="str">
        <x:v>Talk</x:v>
      </x:c>
      <x:c r="C188" s="21" t="str">
        <x:v>Other</x:v>
      </x:c>
      <x:c r="D188" s="17" t="str">
        <x:v>AI Systems / Infrastructure</x:v>
      </x:c>
      <x:c r="E188" s="17" t="str">
        <x:v>AI Systems / MLOps; AI Education</x:v>
      </x:c>
      <x:c r="F188" s="22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2" t="str">
        <x:v>Research Seminar</x:v>
      </x:c>
      <x:c r="K188" s="23" t="n">
        <x:v>67</x:v>
      </x:c>
      <x:c r="L188" s="16" t="str">
        <x:v>https://www.youtube.com/watch?v=AY7pCYTC8pQ</x:v>
      </x:c>
      <x:c r="M188" s="21" t="str">
        <x:v>YouTube</x:v>
      </x:c>
      <x:c r="N188" s="24" t="n">
        <x:v>3543</x:v>
      </x:c>
      <x:c r="O188" s="22" t="str">
        <x:v>A | Official / Original Creator / Organizer</x:v>
      </x:c>
      <x:c r="P188" s="22" t="str">
        <x:v>Core</x:v>
      </x:c>
      <x:c r="Q188" s="22" t="str">
        <x:v>Verified</x:v>
      </x:c>
      <x:c r="R188" s="25" t="n">
        <x:v>46244</x:v>
      </x:c>
      <x:c r="S188" s="17" t="str">
        <x:v>Matched to the target official channel; public metadata accessible.</x:v>
      </x:c>
      <x:c r="T188" s="16" t="str">
        <x:v>AY7pCYTC8pQ</x:v>
      </x:c>
    </x:row>
    <x:row r="189" ht="42" customHeight="1">
      <x:c r="A189" s="21" t="str">
        <x:v>ST-188</x:v>
      </x:c>
      <x:c r="B189" s="21" t="str">
        <x:v>Talk</x:v>
      </x:c>
      <x:c r="C189" s="21" t="str">
        <x:v>Other</x:v>
      </x:c>
      <x:c r="D189" s="17" t="str">
        <x:v>AI Research Frontiers</x:v>
      </x:c>
      <x:c r="E189" s="17" t="str">
        <x:v>AI Systems / MLOps</x:v>
      </x:c>
      <x:c r="F189" s="22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2" t="str">
        <x:v>Public Lecture</x:v>
      </x:c>
      <x:c r="K189" s="23" t="n">
        <x:v>75</x:v>
      </x:c>
      <x:c r="L189" s="16" t="str">
        <x:v>https://www.youtube.com/watch?v=FytfzaPyqj0</x:v>
      </x:c>
      <x:c r="M189" s="21" t="str">
        <x:v>YouTube</x:v>
      </x:c>
      <x:c r="N189" s="24" t="n">
        <x:v>659</x:v>
      </x:c>
      <x:c r="O189" s="22" t="str">
        <x:v>A | Official / Original Creator / Organizer</x:v>
      </x:c>
      <x:c r="P189" s="22" t="str">
        <x:v>Core</x:v>
      </x:c>
      <x:c r="Q189" s="22" t="str">
        <x:v>Verified</x:v>
      </x:c>
      <x:c r="R189" s="25" t="n">
        <x:v>46244</x:v>
      </x:c>
      <x:c r="S189" s="17" t="str">
        <x:v>Matched to the target official channel; public metadata accessible.</x:v>
      </x:c>
      <x:c r="T189" s="16" t="str">
        <x:v>FytfzaPyqj0</x:v>
      </x:c>
    </x:row>
    <x:row r="190" ht="42" customHeight="1">
      <x:c r="A190" s="21" t="str">
        <x:v>ST-189</x:v>
      </x:c>
      <x:c r="B190" s="21" t="str">
        <x:v>Talk</x:v>
      </x:c>
      <x:c r="C190" s="21" t="str">
        <x:v>Other</x:v>
      </x:c>
      <x:c r="D190" s="17" t="str">
        <x:v>Multimodal Learning</x:v>
      </x:c>
      <x:c r="E190" s="17" t="str">
        <x:v>Generative AI; Multimodal Learning</x:v>
      </x:c>
      <x:c r="F190" s="22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2" t="str">
        <x:v>Research Talk</x:v>
      </x:c>
      <x:c r="K190" s="23" t="n">
        <x:v>30</x:v>
      </x:c>
      <x:c r="L190" s="16" t="str">
        <x:v>https://www.youtube.com/watch?v=FnnT9iRQVn8</x:v>
      </x:c>
      <x:c r="M190" s="21" t="str">
        <x:v>YouTube</x:v>
      </x:c>
      <x:c r="N190" s="24" t="n">
        <x:v>418</x:v>
      </x:c>
      <x:c r="O190" s="22" t="str">
        <x:v>A | Official / Original Creator / Organizer</x:v>
      </x:c>
      <x:c r="P190" s="22" t="str">
        <x:v>Core</x:v>
      </x:c>
      <x:c r="Q190" s="22" t="str">
        <x:v>Verified</x:v>
      </x:c>
      <x:c r="R190" s="25" t="n">
        <x:v>46244</x:v>
      </x:c>
      <x:c r="S190" s="17" t="str">
        <x:v>Matched to the target official channel; public metadata accessible.</x:v>
      </x:c>
      <x:c r="T190" s="16" t="str">
        <x:v>FnnT9iRQVn8</x:v>
      </x:c>
    </x:row>
    <x:row r="191" ht="42" customHeight="1">
      <x:c r="A191" s="21" t="str">
        <x:v>ST-190</x:v>
      </x:c>
      <x:c r="B191" s="21" t="str">
        <x:v>Talk</x:v>
      </x:c>
      <x:c r="C191" s="21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2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2" t="str">
        <x:v>Research Talk</x:v>
      </x:c>
      <x:c r="K191" s="23" t="n">
        <x:v>53</x:v>
      </x:c>
      <x:c r="L191" s="16" t="str">
        <x:v>https://www.youtube.com/watch?v=l3u_FAv33G0</x:v>
      </x:c>
      <x:c r="M191" s="21" t="str">
        <x:v>YouTube</x:v>
      </x:c>
      <x:c r="N191" s="24" t="n">
        <x:v>1244337</x:v>
      </x:c>
      <x:c r="O191" s="22" t="str">
        <x:v>A | Official / Original Creator / Organizer</x:v>
      </x:c>
      <x:c r="P191" s="22" t="str">
        <x:v>Core</x:v>
      </x:c>
      <x:c r="Q191" s="22" t="str">
        <x:v>Verified</x:v>
      </x:c>
      <x:c r="R191" s="25" t="n">
        <x:v>46244</x:v>
      </x:c>
      <x:c r="S191" s="17" t="str">
        <x:v>Matched to the target official channel; public metadata accessible.</x:v>
      </x:c>
      <x:c r="T191" s="16" t="str">
        <x:v>l3u_FAv33G0</x:v>
      </x:c>
    </x:row>
    <x:row r="192" ht="42" customHeight="1">
      <x:c r="A192" s="21" t="str">
        <x:v>ST-191</x:v>
      </x:c>
      <x:c r="B192" s="21" t="str">
        <x:v>Talk</x:v>
      </x:c>
      <x:c r="C192" s="21" t="str">
        <x:v>Vision</x:v>
      </x:c>
      <x:c r="D192" s="17" t="str">
        <x:v>Diffusion Models / Generative AI</x:v>
      </x:c>
      <x:c r="E192" s="17" t="str">
        <x:v>Generative AI; AI for Science</x:v>
      </x:c>
      <x:c r="F192" s="22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2" t="str">
        <x:v>Research Talk</x:v>
      </x:c>
      <x:c r="K192" s="23" t="n">
        <x:v>58</x:v>
      </x:c>
      <x:c r="L192" s="16" t="str">
        <x:v>https://www.youtube.com/watch?v=1z5rwWr5tlI</x:v>
      </x:c>
      <x:c r="M192" s="21" t="str">
        <x:v>YouTube</x:v>
      </x:c>
      <x:c r="N192" s="24" t="n">
        <x:v>9876</x:v>
      </x:c>
      <x:c r="O192" s="22" t="str">
        <x:v>A | Official / Original Creator / Organizer</x:v>
      </x:c>
      <x:c r="P192" s="22" t="str">
        <x:v>Core</x:v>
      </x:c>
      <x:c r="Q192" s="22" t="str">
        <x:v>Verified</x:v>
      </x:c>
      <x:c r="R192" s="25" t="n">
        <x:v>46244</x:v>
      </x:c>
      <x:c r="S192" s="17" t="str">
        <x:v>Matched to the target official channel; public metadata accessible.</x:v>
      </x:c>
      <x:c r="T192" s="16" t="str">
        <x:v>1z5rwWr5tlI</x:v>
      </x:c>
    </x:row>
    <x:row r="193" ht="42" customHeight="1">
      <x:c r="A193" s="21" t="str">
        <x:v>ST-192</x:v>
      </x:c>
      <x:c r="B193" s="21" t="str">
        <x:v>Talk</x:v>
      </x:c>
      <x:c r="C193" s="21" t="str">
        <x:v>Other</x:v>
      </x:c>
      <x:c r="D193" s="17" t="str">
        <x:v>AI for Science</x:v>
      </x:c>
      <x:c r="E193" s="17" t="str">
        <x:v>AI for Science; AI Education</x:v>
      </x:c>
      <x:c r="F193" s="22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2" t="str">
        <x:v>Research Talk</x:v>
      </x:c>
      <x:c r="K193" s="23" t="n">
        <x:v>69</x:v>
      </x:c>
      <x:c r="L193" s="16" t="str">
        <x:v>https://www.youtube.com/watch?v=iLobVDihMoc</x:v>
      </x:c>
      <x:c r="M193" s="21" t="str">
        <x:v>YouTube</x:v>
      </x:c>
      <x:c r="N193" s="24" t="n">
        <x:v>1495</x:v>
      </x:c>
      <x:c r="O193" s="22" t="str">
        <x:v>A | Official / Original Creator / Organizer</x:v>
      </x:c>
      <x:c r="P193" s="22" t="str">
        <x:v>Core</x:v>
      </x:c>
      <x:c r="Q193" s="22" t="str">
        <x:v>Verified</x:v>
      </x:c>
      <x:c r="R193" s="25" t="n">
        <x:v>46244</x:v>
      </x:c>
      <x:c r="S193" s="17" t="str">
        <x:v>Matched to the target official channel; public metadata accessible.</x:v>
      </x:c>
      <x:c r="T193" s="16" t="str">
        <x:v>iLobVDihMoc</x:v>
      </x:c>
    </x:row>
    <x:row r="194" ht="42" customHeight="1">
      <x:c r="A194" s="21" t="str">
        <x:v>ST-193</x:v>
      </x:c>
      <x:c r="B194" s="21" t="str">
        <x:v>Talk</x:v>
      </x:c>
      <x:c r="C194" s="21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2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2" t="str">
        <x:v>Research Talk</x:v>
      </x:c>
      <x:c r="K194" s="23" t="n">
        <x:v>64</x:v>
      </x:c>
      <x:c r="L194" s="16" t="str">
        <x:v>https://www.youtube.com/watch?v=US9CzPrT2H8</x:v>
      </x:c>
      <x:c r="M194" s="21" t="str">
        <x:v>YouTube</x:v>
      </x:c>
      <x:c r="N194" s="24" t="n">
        <x:v>5497</x:v>
      </x:c>
      <x:c r="O194" s="22" t="str">
        <x:v>A | Official / Original Creator / Organizer</x:v>
      </x:c>
      <x:c r="P194" s="22" t="str">
        <x:v>Core</x:v>
      </x:c>
      <x:c r="Q194" s="22" t="str">
        <x:v>Verified</x:v>
      </x:c>
      <x:c r="R194" s="25" t="n">
        <x:v>46244</x:v>
      </x:c>
      <x:c r="S194" s="17" t="str">
        <x:v>Matched to the target official channel; public metadata accessible.</x:v>
      </x:c>
      <x:c r="T194" s="16" t="str">
        <x:v>US9CzPrT2H8</x:v>
      </x:c>
    </x:row>
    <x:row r="195" ht="42" customHeight="1">
      <x:c r="A195" s="21" t="str">
        <x:v>ST-194</x:v>
      </x:c>
      <x:c r="B195" s="21" t="str">
        <x:v>Talk</x:v>
      </x:c>
      <x:c r="C195" s="21" t="str">
        <x:v>Vision</x:v>
      </x:c>
      <x:c r="D195" s="17" t="str">
        <x:v>Diffusion Models / Generative AI</x:v>
      </x:c>
      <x:c r="E195" s="17" t="str">
        <x:v>Generative AI</x:v>
      </x:c>
      <x:c r="F195" s="22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2" t="str">
        <x:v>Research Talk</x:v>
      </x:c>
      <x:c r="K195" s="23" t="n">
        <x:v>40</x:v>
      </x:c>
      <x:c r="L195" s="16" t="str">
        <x:v>https://www.youtube.com/watch?v=IOmnazOXfv4</x:v>
      </x:c>
      <x:c r="M195" s="21" t="str">
        <x:v>YouTube</x:v>
      </x:c>
      <x:c r="N195" s="24" t="n">
        <x:v>2528</x:v>
      </x:c>
      <x:c r="O195" s="22" t="str">
        <x:v>A | Official / Original Creator / Organizer</x:v>
      </x:c>
      <x:c r="P195" s="22" t="str">
        <x:v>Core</x:v>
      </x:c>
      <x:c r="Q195" s="22" t="str">
        <x:v>Verified</x:v>
      </x:c>
      <x:c r="R195" s="25" t="n">
        <x:v>46244</x:v>
      </x:c>
      <x:c r="S195" s="17" t="str">
        <x:v>Matched to the target official channel; public metadata accessible.</x:v>
      </x:c>
      <x:c r="T195" s="16" t="str">
        <x:v>IOmnazOXfv4</x:v>
      </x:c>
    </x:row>
    <x:row r="196" ht="42" customHeight="1">
      <x:c r="A196" s="21" t="str">
        <x:v>ST-195</x:v>
      </x:c>
      <x:c r="B196" s="21" t="str">
        <x:v>Talk</x:v>
      </x:c>
      <x:c r="C196" s="21" t="str">
        <x:v>Other</x:v>
      </x:c>
      <x:c r="D196" s="17" t="str">
        <x:v>AI Research Frontiers</x:v>
      </x:c>
      <x:c r="E196" s="17" t="str">
        <x:v>AI Research Frontiers</x:v>
      </x:c>
      <x:c r="F196" s="22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2" t="str">
        <x:v>Conference Keynote</x:v>
      </x:c>
      <x:c r="K196" s="23" t="n">
        <x:v>111</x:v>
      </x:c>
      <x:c r="L196" s="16" t="str">
        <x:v>https://www.youtube.com/watch?v=wYSncx9zLIU</x:v>
      </x:c>
      <x:c r="M196" s="21" t="str">
        <x:v>YouTube</x:v>
      </x:c>
      <x:c r="N196" s="24" t="n">
        <x:v>9164883</x:v>
      </x:c>
      <x:c r="O196" s="22" t="str">
        <x:v>B | University / Conference / Institution</x:v>
      </x:c>
      <x:c r="P196" s="22" t="str">
        <x:v>Recommended</x:v>
      </x:c>
      <x:c r="Q196" s="22" t="str">
        <x:v>Verified</x:v>
      </x:c>
      <x:c r="R196" s="25" t="n">
        <x:v>46244</x:v>
      </x:c>
      <x:c r="S196" s="17" t="str">
        <x:v>Title, channel, and public metadata reviewed.</x:v>
      </x:c>
      <x:c r="T196" s="16" t="str">
        <x:v>wYSncx9zLIU</x:v>
      </x:c>
    </x:row>
    <x:row r="197" ht="42" customHeight="1">
      <x:c r="A197" s="21" t="str">
        <x:v>ST-196</x:v>
      </x:c>
      <x:c r="B197" s="21" t="str">
        <x:v>Talk</x:v>
      </x:c>
      <x:c r="C197" s="21" t="str">
        <x:v>Other</x:v>
      </x:c>
      <x:c r="D197" s="17" t="str">
        <x:v>AI Research Frontiers</x:v>
      </x:c>
      <x:c r="E197" s="17" t="str">
        <x:v>AI Research Frontiers</x:v>
      </x:c>
      <x:c r="F197" s="22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2" t="str">
        <x:v>Research Talk</x:v>
      </x:c>
      <x:c r="K197" s="23" t="n">
        <x:v>71</x:v>
      </x:c>
      <x:c r="L197" s="16" t="str">
        <x:v>https://www.youtube.com/watch?v=rHKwIYsPXLg</x:v>
      </x:c>
      <x:c r="M197" s="21" t="str">
        <x:v>YouTube</x:v>
      </x:c>
      <x:c r="N197" s="24" t="n">
        <x:v>472681</x:v>
      </x:c>
      <x:c r="O197" s="22" t="str">
        <x:v>B | University / Conference / Institution</x:v>
      </x:c>
      <x:c r="P197" s="22" t="str">
        <x:v>Recommended</x:v>
      </x:c>
      <x:c r="Q197" s="22" t="str">
        <x:v>Verified</x:v>
      </x:c>
      <x:c r="R197" s="25" t="n">
        <x:v>46244</x:v>
      </x:c>
      <x:c r="S197" s="17" t="str">
        <x:v>Title, channel, and public metadata reviewed.</x:v>
      </x:c>
      <x:c r="T197" s="16" t="str">
        <x:v>rHKwIYsPXLg</x:v>
      </x:c>
    </x:row>
    <x:row r="198" ht="42" customHeight="1">
      <x:c r="A198" s="21" t="str">
        <x:v>ST-197</x:v>
      </x:c>
      <x:c r="B198" s="21" t="str">
        <x:v>Talk</x:v>
      </x:c>
      <x:c r="C198" s="21" t="str">
        <x:v>Other</x:v>
      </x:c>
      <x:c r="D198" s="17" t="str">
        <x:v>Large-Model Systems</x:v>
      </x:c>
      <x:c r="E198" s="17" t="str">
        <x:v>Large Language Models; AI Systems / MLOps</x:v>
      </x:c>
      <x:c r="F198" s="22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2" t="str">
        <x:v>Research Talk</x:v>
      </x:c>
      <x:c r="K198" s="23" t="n">
        <x:v>67</x:v>
      </x:c>
      <x:c r="L198" s="16" t="str">
        <x:v>https://www.youtube.com/watch?v=JhCl-GeT4jw</x:v>
      </x:c>
      <x:c r="M198" s="21" t="str">
        <x:v>YouTube</x:v>
      </x:c>
      <x:c r="N198" s="24" t="n">
        <x:v>849235</x:v>
      </x:c>
      <x:c r="O198" s="22" t="str">
        <x:v>A | Official / Original Creator / Organizer</x:v>
      </x:c>
      <x:c r="P198" s="22" t="str">
        <x:v>Recommended</x:v>
      </x:c>
      <x:c r="Q198" s="22" t="str">
        <x:v>Verified</x:v>
      </x:c>
      <x:c r="R198" s="25" t="n">
        <x:v>46244</x:v>
      </x:c>
      <x:c r="S198" s="17" t="str">
        <x:v>Title, channel, and public metadata reviewed.</x:v>
      </x:c>
      <x:c r="T198" s="16" t="str">
        <x:v>JhCl-GeT4jw</x:v>
      </x:c>
    </x:row>
    <x:row r="199" ht="42" customHeight="1">
      <x:c r="A199" s="21" t="str">
        <x:v>ST-198</x:v>
      </x:c>
      <x:c r="B199" s="21" t="str">
        <x:v>Talk</x:v>
      </x:c>
      <x:c r="C199" s="21" t="str">
        <x:v>Other</x:v>
      </x:c>
      <x:c r="D199" s="17" t="str">
        <x:v>Multimodal Learning</x:v>
      </x:c>
      <x:c r="E199" s="17" t="str">
        <x:v>Multimodal Learning; AI Education</x:v>
      </x:c>
      <x:c r="F199" s="22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2" t="str">
        <x:v>Research Talk</x:v>
      </x:c>
      <x:c r="K199" s="23" t="n">
        <x:v>19</x:v>
      </x:c>
      <x:c r="L199" s="16" t="str">
        <x:v>https://www.youtube.com/watch?v=lIy0d6APuic</x:v>
      </x:c>
      <x:c r="M199" s="21" t="str">
        <x:v>YouTube</x:v>
      </x:c>
      <x:c r="N199" s="24" t="n">
        <x:v>3129</x:v>
      </x:c>
      <x:c r="O199" s="22" t="str">
        <x:v>A | Official / Original Creator / Organizer</x:v>
      </x:c>
      <x:c r="P199" s="22" t="str">
        <x:v>Recommended</x:v>
      </x:c>
      <x:c r="Q199" s="22" t="str">
        <x:v>Verified</x:v>
      </x:c>
      <x:c r="R199" s="25" t="n">
        <x:v>46244</x:v>
      </x:c>
      <x:c r="S199" s="17" t="str">
        <x:v>Title, channel, and public metadata reviewed.</x:v>
      </x:c>
      <x:c r="T199" s="16" t="str">
        <x:v>lIy0d6APuic</x:v>
      </x:c>
    </x:row>
    <x:row r="200" ht="42" customHeight="1">
      <x:c r="A200" s="21" t="str">
        <x:v>ST-199</x:v>
      </x:c>
      <x:c r="B200" s="21" t="str">
        <x:v>Talk</x:v>
      </x:c>
      <x:c r="C200" s="21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2" t="str">
        <x:v>English</x:v>
      </x:c>
      <x:c r="G200" s="17" t="str">
        <x:v>KDD 2025 - Keynote Speakers: Chris Manning /  Meaning and Intelligence in Language Models</x:v>
      </x:c>
      <x:c r="H200" s="17" t="str">
        <x:v>Chris</x:v>
      </x:c>
      <x:c r="I200" s="17" t="str">
        <x:v>Association for Computing Machinery (ACM)</x:v>
      </x:c>
      <x:c r="J200" s="22" t="str">
        <x:v>Conference Keynote</x:v>
      </x:c>
      <x:c r="K200" s="23" t="n">
        <x:v>71</x:v>
      </x:c>
      <x:c r="L200" s="16" t="str">
        <x:v>https://www.youtube.com/watch?v=d6XBrx_7rIE</x:v>
      </x:c>
      <x:c r="M200" s="21" t="str">
        <x:v>YouTube</x:v>
      </x:c>
      <x:c r="N200" s="24" t="n">
        <x:v>1013</x:v>
      </x:c>
      <x:c r="O200" s="22" t="str">
        <x:v>A | Official / Original Creator / Organizer</x:v>
      </x:c>
      <x:c r="P200" s="22" t="str">
        <x:v>Recommended</x:v>
      </x:c>
      <x:c r="Q200" s="22" t="str">
        <x:v>Verified</x:v>
      </x:c>
      <x:c r="R200" s="25" t="n">
        <x:v>46244</x:v>
      </x:c>
      <x:c r="S200" s="17" t="str">
        <x:v>Title, channel, and public metadata reviewed.</x:v>
      </x:c>
      <x:c r="T200" s="16" t="str">
        <x:v>d6XBrx_7rIE</x:v>
      </x:c>
    </x:row>
    <x:row r="201" ht="42" customHeight="1">
      <x:c r="A201" s="21" t="str">
        <x:v>ST-200</x:v>
      </x:c>
      <x:c r="B201" s="21" t="str">
        <x:v>Talk</x:v>
      </x:c>
      <x:c r="C201" s="21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2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2" t="str">
        <x:v>Conference Keynote</x:v>
      </x:c>
      <x:c r="K201" s="23" t="n">
        <x:v>38</x:v>
      </x:c>
      <x:c r="L201" s="16" t="str">
        <x:v>https://www.youtube.com/watch?v=w6Pw4MOzMuo</x:v>
      </x:c>
      <x:c r="M201" s="21" t="str">
        <x:v>YouTube</x:v>
      </x:c>
      <x:c r="N201" s="24" t="n">
        <x:v>168030</x:v>
      </x:c>
      <x:c r="O201" s="22" t="str">
        <x:v>B | University / Conference / Institution</x:v>
      </x:c>
      <x:c r="P201" s="22" t="str">
        <x:v>Recommended</x:v>
      </x:c>
      <x:c r="Q201" s="22" t="str">
        <x:v>Verified</x:v>
      </x:c>
      <x:c r="R201" s="25" t="n">
        <x:v>46244</x:v>
      </x:c>
      <x:c r="S201" s="17" t="str">
        <x:v>Title, channel, and public metadata reviewed.</x:v>
      </x:c>
      <x:c r="T201" s="16" t="str">
        <x:v>w6Pw4MOzMuo</x:v>
      </x:c>
    </x:row>
    <x:row r="202" ht="42" customHeight="1">
      <x:c r="A202" s="21" t="str">
        <x:v>ST-201</x:v>
      </x:c>
      <x:c r="B202" s="21" t="str">
        <x:v>Talk</x:v>
      </x:c>
      <x:c r="C202" s="21" t="str">
        <x:v>Other</x:v>
      </x:c>
      <x:c r="D202" s="17" t="str">
        <x:v>Machine Learning Research</x:v>
      </x:c>
      <x:c r="E202" s="17" t="str">
        <x:v>Machine Learning Research</x:v>
      </x:c>
      <x:c r="F202" s="22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2" t="str">
        <x:v>Research Talk</x:v>
      </x:c>
      <x:c r="K202" s="23" t="n">
        <x:v>47</x:v>
      </x:c>
      <x:c r="L202" s="16" t="str">
        <x:v>https://www.youtube.com/watch?v=itpbLcaW5WI</x:v>
      </x:c>
      <x:c r="M202" s="21" t="str">
        <x:v>YouTube</x:v>
      </x:c>
      <x:c r="N202" s="24" t="n">
        <x:v>13720</x:v>
      </x:c>
      <x:c r="O202" s="22" t="str">
        <x:v>B | University / Conference / Institution</x:v>
      </x:c>
      <x:c r="P202" s="22" t="str">
        <x:v>Recommended</x:v>
      </x:c>
      <x:c r="Q202" s="22" t="str">
        <x:v>Verified</x:v>
      </x:c>
      <x:c r="R202" s="25" t="n">
        <x:v>46244</x:v>
      </x:c>
      <x:c r="S202" s="17" t="str">
        <x:v>Title, channel, and public metadata reviewed.</x:v>
      </x:c>
      <x:c r="T202" s="16" t="str">
        <x:v>itpbLcaW5WI</x:v>
      </x:c>
    </x:row>
    <x:row r="203" ht="42" customHeight="1">
      <x:c r="A203" s="21" t="str">
        <x:v>ST-202</x:v>
      </x:c>
      <x:c r="B203" s="21" t="str">
        <x:v>Talk</x:v>
      </x:c>
      <x:c r="C203" s="21" t="str">
        <x:v>Other</x:v>
      </x:c>
      <x:c r="D203" s="17" t="str">
        <x:v>Representation Learning / Generative Models</x:v>
      </x:c>
      <x:c r="E203" s="17" t="str">
        <x:v>Generative AI</x:v>
      </x:c>
      <x:c r="F203" s="22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2" t="str">
        <x:v>Conference Keynote</x:v>
      </x:c>
      <x:c r="K203" s="23" t="n">
        <x:v>30</x:v>
      </x:c>
      <x:c r="L203" s="16" t="str">
        <x:v>https://www.youtube.com/watch?v=Ub45cGEcTB0</x:v>
      </x:c>
      <x:c r="M203" s="21" t="str">
        <x:v>YouTube</x:v>
      </x:c>
      <x:c r="N203" s="24" t="n">
        <x:v>14232</x:v>
      </x:c>
      <x:c r="O203" s="22" t="str">
        <x:v>B | University / Conference / Institution</x:v>
      </x:c>
      <x:c r="P203" s="22" t="str">
        <x:v>Recommended</x:v>
      </x:c>
      <x:c r="Q203" s="22" t="str">
        <x:v>Verified</x:v>
      </x:c>
      <x:c r="R203" s="25" t="n">
        <x:v>46244</x:v>
      </x:c>
      <x:c r="S203" s="17" t="str">
        <x:v>Title, channel, and public metadata reviewed.</x:v>
      </x:c>
      <x:c r="T203" s="16" t="str">
        <x:v>Ub45cGEcTB0</x:v>
      </x:c>
    </x:row>
    <x:row r="204" ht="42" customHeight="1">
      <x:c r="A204" s="21" t="str">
        <x:v>ST-203</x:v>
      </x:c>
      <x:c r="B204" s="21" t="str">
        <x:v>Talk</x:v>
      </x:c>
      <x:c r="C204" s="21" t="str">
        <x:v>Other</x:v>
      </x:c>
      <x:c r="D204" s="17" t="str">
        <x:v>Natural Language Processing</x:v>
      </x:c>
      <x:c r="E204" s="17" t="str">
        <x:v>Natural Language Processing</x:v>
      </x:c>
      <x:c r="F204" s="22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2" t="str">
        <x:v>Conference Keynote</x:v>
      </x:c>
      <x:c r="K204" s="23" t="n">
        <x:v>45</x:v>
      </x:c>
      <x:c r="L204" s="16" t="str">
        <x:v>https://www.youtube.com/watch?v=KChtdexd5Jo</x:v>
      </x:c>
      <x:c r="M204" s="21" t="str">
        <x:v>YouTube</x:v>
      </x:c>
      <x:c r="N204" s="24" t="n">
        <x:v>12369</x:v>
      </x:c>
      <x:c r="O204" s="22" t="str">
        <x:v>B | University / Conference / Institution</x:v>
      </x:c>
      <x:c r="P204" s="22" t="str">
        <x:v>Recommended</x:v>
      </x:c>
      <x:c r="Q204" s="22" t="str">
        <x:v>Verified</x:v>
      </x:c>
      <x:c r="R204" s="25" t="n">
        <x:v>46244</x:v>
      </x:c>
      <x:c r="S204" s="17" t="str">
        <x:v>Title, channel, and public metadata reviewed.</x:v>
      </x:c>
      <x:c r="T204" s="16" t="str">
        <x:v>KChtdexd5Jo</x:v>
      </x:c>
    </x:row>
    <x:row r="205" ht="42" customHeight="1">
      <x:c r="A205" s="21" t="str">
        <x:v>ST-204</x:v>
      </x:c>
      <x:c r="B205" s="21" t="str">
        <x:v>Talk</x:v>
      </x:c>
      <x:c r="C205" s="21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2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2" t="str">
        <x:v>Conference Keynote</x:v>
      </x:c>
      <x:c r="K205" s="23" t="n">
        <x:v>59</x:v>
      </x:c>
      <x:c r="L205" s="16" t="str">
        <x:v>https://www.youtube.com/watch?v=GibjI5FoZsE</x:v>
      </x:c>
      <x:c r="M205" s="21" t="str">
        <x:v>YouTube</x:v>
      </x:c>
      <x:c r="N205" s="24" t="n">
        <x:v>15343</x:v>
      </x:c>
      <x:c r="O205" s="22" t="str">
        <x:v>B | University / Conference / Institution</x:v>
      </x:c>
      <x:c r="P205" s="22" t="str">
        <x:v>Recommended</x:v>
      </x:c>
      <x:c r="Q205" s="22" t="str">
        <x:v>Verified</x:v>
      </x:c>
      <x:c r="R205" s="25" t="n">
        <x:v>46244</x:v>
      </x:c>
      <x:c r="S205" s="17" t="str">
        <x:v>Title, channel, and public metadata reviewed.</x:v>
      </x:c>
      <x:c r="T205" s="16" t="str">
        <x:v>GibjI5FoZsE</x:v>
      </x:c>
    </x:row>
    <x:row r="206" ht="42" customHeight="1">
      <x:c r="A206" s="21" t="str">
        <x:v>ST-205</x:v>
      </x:c>
      <x:c r="B206" s="21" t="str">
        <x:v>Talk</x:v>
      </x:c>
      <x:c r="C206" s="21" t="str">
        <x:v>Other</x:v>
      </x:c>
      <x:c r="D206" s="17" t="str">
        <x:v>Trustworthy AI / Safety</x:v>
      </x:c>
      <x:c r="E206" s="17" t="str">
        <x:v>AI Safety / Alignment / Ethics</x:v>
      </x:c>
      <x:c r="F206" s="22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2" t="str">
        <x:v>Research Talk</x:v>
      </x:c>
      <x:c r="K206" s="23" t="n">
        <x:v>41</x:v>
      </x:c>
      <x:c r="L206" s="16" t="str">
        <x:v>https://www.youtube.com/watch?v=iXb3emd9_jc</x:v>
      </x:c>
      <x:c r="M206" s="21" t="str">
        <x:v>YouTube</x:v>
      </x:c>
      <x:c r="N206" s="24" t="n">
        <x:v>310</x:v>
      </x:c>
      <x:c r="O206" s="22" t="str">
        <x:v>B | University / Conference / Institution</x:v>
      </x:c>
      <x:c r="P206" s="22" t="str">
        <x:v>Recommended</x:v>
      </x:c>
      <x:c r="Q206" s="22" t="str">
        <x:v>Verified</x:v>
      </x:c>
      <x:c r="R206" s="25" t="n">
        <x:v>46244</x:v>
      </x:c>
      <x:c r="S206" s="17" t="str">
        <x:v>Title, channel, and public metadata reviewed.</x:v>
      </x:c>
      <x:c r="T206" s="16" t="str">
        <x:v>iXb3emd9_jc</x:v>
      </x:c>
    </x:row>
    <x:row r="207" ht="42" customHeight="1">
      <x:c r="A207" s="21" t="str">
        <x:v>ST-206</x:v>
      </x:c>
      <x:c r="B207" s="21" t="str">
        <x:v>Talk</x:v>
      </x:c>
      <x:c r="C207" s="21" t="str">
        <x:v>Other</x:v>
      </x:c>
      <x:c r="D207" s="17" t="str">
        <x:v>AI for Science</x:v>
      </x:c>
      <x:c r="E207" s="17" t="str">
        <x:v>AI for Science; AI Education</x:v>
      </x:c>
      <x:c r="F207" s="22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2" t="str">
        <x:v>Research Talk</x:v>
      </x:c>
      <x:c r="K207" s="23" t="n">
        <x:v>15</x:v>
      </x:c>
      <x:c r="L207" s="16" t="str">
        <x:v>https://www.youtube.com/watch?v=Y5yNFDCUj_Q</x:v>
      </x:c>
      <x:c r="M207" s="21" t="str">
        <x:v>YouTube</x:v>
      </x:c>
      <x:c r="N207" s="24" t="n">
        <x:v>1354</x:v>
      </x:c>
      <x:c r="O207" s="22" t="str">
        <x:v>B | University / Conference / Institution</x:v>
      </x:c>
      <x:c r="P207" s="22" t="str">
        <x:v>Recommended</x:v>
      </x:c>
      <x:c r="Q207" s="22" t="str">
        <x:v>Verified</x:v>
      </x:c>
      <x:c r="R207" s="25" t="n">
        <x:v>46244</x:v>
      </x:c>
      <x:c r="S207" s="17" t="str">
        <x:v>Title, channel, and public metadata reviewed.</x:v>
      </x:c>
      <x:c r="T207" s="16" t="str">
        <x:v>Y5yNFDCUj_Q</x:v>
      </x:c>
    </x:row>
    <x:row r="208" ht="42" customHeight="1">
      <x:c r="A208" s="21" t="str">
        <x:v>ST-207</x:v>
      </x:c>
      <x:c r="B208" s="21" t="str">
        <x:v>Talk</x:v>
      </x:c>
      <x:c r="C208" s="21" t="str">
        <x:v>Other</x:v>
      </x:c>
      <x:c r="D208" s="17" t="str">
        <x:v>Machine Learning Frontiers</x:v>
      </x:c>
      <x:c r="E208" s="17" t="str">
        <x:v>AI Safety / Alignment / Ethics</x:v>
      </x:c>
      <x:c r="F208" s="22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2" t="str">
        <x:v>Conference Keynote</x:v>
      </x:c>
      <x:c r="K208" s="23" t="n">
        <x:v>31</x:v>
      </x:c>
      <x:c r="L208" s="16" t="str">
        <x:v>https://www.youtube.com/watch?v=57YpXjcj0Ho</x:v>
      </x:c>
      <x:c r="M208" s="21" t="str">
        <x:v>YouTube</x:v>
      </x:c>
      <x:c r="N208" s="24" t="n">
        <x:v>1393</x:v>
      </x:c>
      <x:c r="O208" s="22" t="str">
        <x:v>B | University / Conference / Institution</x:v>
      </x:c>
      <x:c r="P208" s="22" t="str">
        <x:v>Recommended</x:v>
      </x:c>
      <x:c r="Q208" s="22" t="str">
        <x:v>Verified</x:v>
      </x:c>
      <x:c r="R208" s="25" t="n">
        <x:v>46244</x:v>
      </x:c>
      <x:c r="S208" s="17" t="str">
        <x:v>Title, channel, and public metadata reviewed.</x:v>
      </x:c>
      <x:c r="T208" s="16" t="str">
        <x:v>57YpXjcj0Ho</x:v>
      </x:c>
    </x:row>
    <x:row r="209" ht="42" customHeight="1">
      <x:c r="A209" s="21" t="str">
        <x:v>ST-208</x:v>
      </x:c>
      <x:c r="B209" s="21" t="str">
        <x:v>Talk</x:v>
      </x:c>
      <x:c r="C209" s="21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2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2" t="str">
        <x:v>Research Seminar</x:v>
      </x:c>
      <x:c r="K209" s="23" t="n">
        <x:v>78</x:v>
      </x:c>
      <x:c r="L209" s="16" t="str">
        <x:v>https://www.youtube.com/watch?v=VIA_-jdH6q0</x:v>
      </x:c>
      <x:c r="M209" s="21" t="str">
        <x:v>YouTube</x:v>
      </x:c>
      <x:c r="N209" s="24" t="n">
        <x:v>1183</x:v>
      </x:c>
      <x:c r="O209" s="22" t="str">
        <x:v>B | University / Conference / Institution</x:v>
      </x:c>
      <x:c r="P209" s="22" t="str">
        <x:v>Recommended</x:v>
      </x:c>
      <x:c r="Q209" s="22" t="str">
        <x:v>Verified</x:v>
      </x:c>
      <x:c r="R209" s="25" t="n">
        <x:v>46244</x:v>
      </x:c>
      <x:c r="S209" s="17" t="str">
        <x:v>Title, channel, and public metadata reviewed.</x:v>
      </x:c>
      <x:c r="T209" s="16" t="str">
        <x:v>VIA_-jdH6q0</x:v>
      </x:c>
    </x:row>
    <x:row r="210" ht="42" customHeight="1">
      <x:c r="A210" s="21" t="str">
        <x:v>ST-209</x:v>
      </x:c>
      <x:c r="B210" s="21" t="str">
        <x:v>Talk</x:v>
      </x:c>
      <x:c r="C210" s="21" t="str">
        <x:v>Other</x:v>
      </x:c>
      <x:c r="D210" s="17" t="str">
        <x:v>Machine Learning Frontiers</x:v>
      </x:c>
      <x:c r="E210" s="17" t="str">
        <x:v>AI Education</x:v>
      </x:c>
      <x:c r="F210" s="22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2" t="str">
        <x:v>Conference Keynote</x:v>
      </x:c>
      <x:c r="K210" s="23" t="n">
        <x:v>47</x:v>
      </x:c>
      <x:c r="L210" s="16" t="str">
        <x:v>https://www.youtube.com/watch?v=7bJ0fnvPLaA</x:v>
      </x:c>
      <x:c r="M210" s="21" t="str">
        <x:v>YouTube</x:v>
      </x:c>
      <x:c r="N210" s="24" t="n">
        <x:v>1732</x:v>
      </x:c>
      <x:c r="O210" s="22" t="str">
        <x:v>B | University / Conference / Institution</x:v>
      </x:c>
      <x:c r="P210" s="22" t="str">
        <x:v>Recommended</x:v>
      </x:c>
      <x:c r="Q210" s="22" t="str">
        <x:v>Verified</x:v>
      </x:c>
      <x:c r="R210" s="25" t="n">
        <x:v>46244</x:v>
      </x:c>
      <x:c r="S210" s="17" t="str">
        <x:v>Title, channel, and public metadata reviewed.</x:v>
      </x:c>
      <x:c r="T210" s="16" t="str">
        <x:v>7bJ0fnvPLaA</x:v>
      </x:c>
    </x:row>
    <x:row r="211" ht="42" customHeight="1">
      <x:c r="A211" s="21" t="str">
        <x:v>ST-210</x:v>
      </x:c>
      <x:c r="B211" s="21" t="str">
        <x:v>Talk</x:v>
      </x:c>
      <x:c r="C211" s="21" t="str">
        <x:v>Other</x:v>
      </x:c>
      <x:c r="D211" s="17" t="str">
        <x:v>Machine Learning Frontiers</x:v>
      </x:c>
      <x:c r="E211" s="17" t="str">
        <x:v>Machine Learning Frontiers</x:v>
      </x:c>
      <x:c r="F211" s="22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2" t="str">
        <x:v>Conference Keynote</x:v>
      </x:c>
      <x:c r="K211" s="23" t="n">
        <x:v>49</x:v>
      </x:c>
      <x:c r="L211" s="16" t="str">
        <x:v>https://www.youtube.com/watch?v=HL60wgrT67k</x:v>
      </x:c>
      <x:c r="M211" s="21" t="str">
        <x:v>YouTube</x:v>
      </x:c>
      <x:c r="N211" s="24" t="n">
        <x:v>2842</x:v>
      </x:c>
      <x:c r="O211" s="22" t="str">
        <x:v>B | University / Conference / Institution</x:v>
      </x:c>
      <x:c r="P211" s="22" t="str">
        <x:v>Recommended</x:v>
      </x:c>
      <x:c r="Q211" s="22" t="str">
        <x:v>Verified</x:v>
      </x:c>
      <x:c r="R211" s="25" t="n">
        <x:v>46244</x:v>
      </x:c>
      <x:c r="S211" s="17" t="str">
        <x:v>Title, channel, and public metadata reviewed.</x:v>
      </x:c>
      <x:c r="T211" s="16" t="str">
        <x:v>HL60wgrT67k</x:v>
      </x:c>
    </x:row>
    <x:row r="212" ht="42" customHeight="1">
      <x:c r="A212" s="21" t="str">
        <x:v>ST-211</x:v>
      </x:c>
      <x:c r="B212" s="21" t="str">
        <x:v>Talk</x:v>
      </x:c>
      <x:c r="C212" s="21" t="str">
        <x:v>Vision</x:v>
      </x:c>
      <x:c r="D212" s="17" t="str">
        <x:v>Machine Learning Research</x:v>
      </x:c>
      <x:c r="E212" s="17" t="str">
        <x:v>Computer Vision</x:v>
      </x:c>
      <x:c r="F212" s="22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2" t="str">
        <x:v>Research Seminar</x:v>
      </x:c>
      <x:c r="K212" s="23" t="n">
        <x:v>29</x:v>
      </x:c>
      <x:c r="L212" s="16" t="str">
        <x:v>https://www.youtube.com/watch?v=FTzcFsz2xqw</x:v>
      </x:c>
      <x:c r="M212" s="21" t="str">
        <x:v>YouTube</x:v>
      </x:c>
      <x:c r="N212" s="24" t="n">
        <x:v>1624</x:v>
      </x:c>
      <x:c r="O212" s="22" t="str">
        <x:v>B | University / Conference / Institution</x:v>
      </x:c>
      <x:c r="P212" s="22" t="str">
        <x:v>Recommended</x:v>
      </x:c>
      <x:c r="Q212" s="22" t="str">
        <x:v>Verified</x:v>
      </x:c>
      <x:c r="R212" s="25" t="n">
        <x:v>46244</x:v>
      </x:c>
      <x:c r="S212" s="17" t="str">
        <x:v>Title, channel, and public metadata reviewed.</x:v>
      </x:c>
      <x:c r="T212" s="16" t="str">
        <x:v>FTzcFsz2xqw</x:v>
      </x:c>
    </x:row>
    <x:row r="213" ht="42" customHeight="1">
      <x:c r="A213" s="21" t="str">
        <x:v>ST-212</x:v>
      </x:c>
      <x:c r="B213" s="21" t="str">
        <x:v>Talk</x:v>
      </x:c>
      <x:c r="C213" s="21" t="str">
        <x:v>Other</x:v>
      </x:c>
      <x:c r="D213" s="17" t="str">
        <x:v>Machine Learning Frontiers</x:v>
      </x:c>
      <x:c r="E213" s="17" t="str">
        <x:v>Machine Learning Frontiers</x:v>
      </x:c>
      <x:c r="F213" s="22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2" t="str">
        <x:v>Research Talk</x:v>
      </x:c>
      <x:c r="K213" s="23" t="n">
        <x:v>49</x:v>
      </x:c>
      <x:c r="L213" s="16" t="str">
        <x:v>https://www.youtube.com/watch?v=-maBKmsORwQ</x:v>
      </x:c>
      <x:c r="M213" s="21" t="str">
        <x:v>YouTube</x:v>
      </x:c>
      <x:c r="N213" s="24" t="n">
        <x:v>1778</x:v>
      </x:c>
      <x:c r="O213" s="22" t="str">
        <x:v>B | University / Conference / Institution</x:v>
      </x:c>
      <x:c r="P213" s="22" t="str">
        <x:v>Recommended</x:v>
      </x:c>
      <x:c r="Q213" s="22" t="str">
        <x:v>Verified</x:v>
      </x:c>
      <x:c r="R213" s="25" t="n">
        <x:v>46244</x:v>
      </x:c>
      <x:c r="S213" s="17" t="str">
        <x:v>Title, channel, and public metadata reviewed.</x:v>
      </x:c>
      <x:c r="T213" s="16" t="str">
        <x:v>-maBKmsORwQ</x:v>
      </x:c>
    </x:row>
    <x:row r="214" ht="42" customHeight="1">
      <x:c r="A214" s="21" t="str">
        <x:v>ST-213</x:v>
      </x:c>
      <x:c r="B214" s="21" t="str">
        <x:v>Talk</x:v>
      </x:c>
      <x:c r="C214" s="21" t="str">
        <x:v>Other</x:v>
      </x:c>
      <x:c r="D214" s="17" t="str">
        <x:v>Trustworthy AI / Safety</x:v>
      </x:c>
      <x:c r="E214" s="17" t="str">
        <x:v>AI Safety / Alignment / Ethics</x:v>
      </x:c>
      <x:c r="F214" s="22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2" t="str">
        <x:v>Research Talk</x:v>
      </x:c>
      <x:c r="K214" s="23" t="n">
        <x:v>53</x:v>
      </x:c>
      <x:c r="L214" s="16" t="str">
        <x:v>https://www.youtube.com/watch?v=GYRAUl82Pjs</x:v>
      </x:c>
      <x:c r="M214" s="21" t="str">
        <x:v>YouTube</x:v>
      </x:c>
      <x:c r="N214" s="24" t="n">
        <x:v>531</x:v>
      </x:c>
      <x:c r="O214" s="22" t="str">
        <x:v>B | University / Conference / Institution</x:v>
      </x:c>
      <x:c r="P214" s="22" t="str">
        <x:v>Recommended</x:v>
      </x:c>
      <x:c r="Q214" s="22" t="str">
        <x:v>Verified</x:v>
      </x:c>
      <x:c r="R214" s="25" t="n">
        <x:v>46244</x:v>
      </x:c>
      <x:c r="S214" s="17" t="str">
        <x:v>Title, channel, and public metadata reviewed.</x:v>
      </x:c>
      <x:c r="T214" s="16" t="str">
        <x:v>GYRAUl82Pjs</x:v>
      </x:c>
    </x:row>
    <x:row r="215" ht="42" customHeight="1">
      <x:c r="A215" s="21" t="str">
        <x:v>ST-214</x:v>
      </x:c>
      <x:c r="B215" s="21" t="str">
        <x:v>Talk</x:v>
      </x:c>
      <x:c r="C215" s="21" t="str">
        <x:v>Other</x:v>
      </x:c>
      <x:c r="D215" s="17" t="str">
        <x:v>Machine Learning Frontiers</x:v>
      </x:c>
      <x:c r="E215" s="17" t="str">
        <x:v>Machine Learning Frontiers</x:v>
      </x:c>
      <x:c r="F215" s="22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2" t="str">
        <x:v>Research Talk</x:v>
      </x:c>
      <x:c r="K215" s="23" t="n">
        <x:v>62</x:v>
      </x:c>
      <x:c r="L215" s="16" t="str">
        <x:v>https://www.youtube.com/watch?v=5DbBQDoBNYc</x:v>
      </x:c>
      <x:c r="M215" s="21" t="str">
        <x:v>YouTube</x:v>
      </x:c>
      <x:c r="N215" s="24" t="n">
        <x:v>2238</x:v>
      </x:c>
      <x:c r="O215" s="22" t="str">
        <x:v>B | University / Conference / Institution</x:v>
      </x:c>
      <x:c r="P215" s="22" t="str">
        <x:v>Recommended</x:v>
      </x:c>
      <x:c r="Q215" s="22" t="str">
        <x:v>Verified</x:v>
      </x:c>
      <x:c r="R215" s="25" t="n">
        <x:v>46244</x:v>
      </x:c>
      <x:c r="S215" s="17" t="str">
        <x:v>Title, channel, and public metadata reviewed.</x:v>
      </x:c>
      <x:c r="T215" s="16" t="str">
        <x:v>5DbBQDoBNYc</x:v>
      </x:c>
    </x:row>
    <x:row r="216" ht="42" customHeight="1">
      <x:c r="A216" s="21" t="str">
        <x:v>ST-215</x:v>
      </x:c>
      <x:c r="B216" s="21" t="str">
        <x:v>Talk</x:v>
      </x:c>
      <x:c r="C216" s="21" t="str">
        <x:v>Other</x:v>
      </x:c>
      <x:c r="D216" s="17" t="str">
        <x:v>Machine Learning Frontiers</x:v>
      </x:c>
      <x:c r="E216" s="17" t="str">
        <x:v>AI Systems / MLOps; AI Education</x:v>
      </x:c>
      <x:c r="F216" s="22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2" t="str">
        <x:v>Conference Keynote</x:v>
      </x:c>
      <x:c r="K216" s="23" t="n">
        <x:v>46</x:v>
      </x:c>
      <x:c r="L216" s="16" t="str">
        <x:v>https://www.youtube.com/watch?v=i-1UmCYyzi4</x:v>
      </x:c>
      <x:c r="M216" s="21" t="str">
        <x:v>YouTube</x:v>
      </x:c>
      <x:c r="N216" s="24" t="n">
        <x:v>2643</x:v>
      </x:c>
      <x:c r="O216" s="22" t="str">
        <x:v>B | University / Conference / Institution</x:v>
      </x:c>
      <x:c r="P216" s="22" t="str">
        <x:v>Recommended</x:v>
      </x:c>
      <x:c r="Q216" s="22" t="str">
        <x:v>Verified</x:v>
      </x:c>
      <x:c r="R216" s="25" t="n">
        <x:v>46244</x:v>
      </x:c>
      <x:c r="S216" s="17" t="str">
        <x:v>Title, channel, and public metadata reviewed.</x:v>
      </x:c>
      <x:c r="T216" s="16" t="str">
        <x:v>i-1UmCYyzi4</x:v>
      </x:c>
    </x:row>
    <x:row r="217" ht="42" customHeight="1">
      <x:c r="A217" s="21" t="str">
        <x:v>ST-216</x:v>
      </x:c>
      <x:c r="B217" s="21" t="str">
        <x:v>Talk</x:v>
      </x:c>
      <x:c r="C217" s="21" t="str">
        <x:v>Vision</x:v>
      </x:c>
      <x:c r="D217" s="17" t="str">
        <x:v>Machine Learning Research</x:v>
      </x:c>
      <x:c r="E217" s="17" t="str">
        <x:v>Computer Vision; AI Systems / MLOps</x:v>
      </x:c>
      <x:c r="F217" s="22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2" t="str">
        <x:v>Research Seminar</x:v>
      </x:c>
      <x:c r="K217" s="23" t="n">
        <x:v>61</x:v>
      </x:c>
      <x:c r="L217" s="16" t="str">
        <x:v>https://www.youtube.com/watch?v=jCedCS1mTYg</x:v>
      </x:c>
      <x:c r="M217" s="21" t="str">
        <x:v>YouTube</x:v>
      </x:c>
      <x:c r="N217" s="24" t="n">
        <x:v>253</x:v>
      </x:c>
      <x:c r="O217" s="22" t="str">
        <x:v>B | University / Conference / Institution</x:v>
      </x:c>
      <x:c r="P217" s="22" t="str">
        <x:v>Recommended</x:v>
      </x:c>
      <x:c r="Q217" s="22" t="str">
        <x:v>Verified</x:v>
      </x:c>
      <x:c r="R217" s="25" t="n">
        <x:v>46244</x:v>
      </x:c>
      <x:c r="S217" s="17" t="str">
        <x:v>Title, channel, and public metadata reviewed.</x:v>
      </x:c>
      <x:c r="T217" s="16" t="str">
        <x:v>jCedCS1mTYg</x:v>
      </x:c>
    </x:row>
    <x:row r="218" ht="42" customHeight="1">
      <x:c r="A218" s="21" t="str">
        <x:v>ST-217</x:v>
      </x:c>
      <x:c r="B218" s="21" t="str">
        <x:v>Talk</x:v>
      </x:c>
      <x:c r="C218" s="21" t="str">
        <x:v>Other</x:v>
      </x:c>
      <x:c r="D218" s="17" t="str">
        <x:v>AI for Science</x:v>
      </x:c>
      <x:c r="E218" s="17" t="str">
        <x:v>AI for Science</x:v>
      </x:c>
      <x:c r="F218" s="22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2" t="str">
        <x:v>Research Seminar</x:v>
      </x:c>
      <x:c r="K218" s="23" t="n">
        <x:v>46</x:v>
      </x:c>
      <x:c r="L218" s="16" t="str">
        <x:v>https://www.youtube.com/watch?v=qptQG5o0HN0</x:v>
      </x:c>
      <x:c r="M218" s="21" t="str">
        <x:v>YouTube</x:v>
      </x:c>
      <x:c r="N218" s="24" t="n">
        <x:v>212</x:v>
      </x:c>
      <x:c r="O218" s="22" t="str">
        <x:v>B | University / Conference / Institution</x:v>
      </x:c>
      <x:c r="P218" s="22" t="str">
        <x:v>Recommended</x:v>
      </x:c>
      <x:c r="Q218" s="22" t="str">
        <x:v>Verified</x:v>
      </x:c>
      <x:c r="R218" s="25" t="n">
        <x:v>46244</x:v>
      </x:c>
      <x:c r="S218" s="17" t="str">
        <x:v>Title, channel, and public metadata reviewed.</x:v>
      </x:c>
      <x:c r="T218" s="16" t="str">
        <x:v>qptQG5o0HN0</x:v>
      </x:c>
    </x:row>
    <x:row r="219" ht="42" customHeight="1">
      <x:c r="A219" s="21" t="str">
        <x:v>ST-218</x:v>
      </x:c>
      <x:c r="B219" s="21" t="str">
        <x:v>Talk</x:v>
      </x:c>
      <x:c r="C219" s="21" t="str">
        <x:v>Vision</x:v>
      </x:c>
      <x:c r="D219" s="17" t="str">
        <x:v>Computer Vision</x:v>
      </x:c>
      <x:c r="E219" s="17" t="str">
        <x:v>Computer Vision</x:v>
      </x:c>
      <x:c r="F219" s="22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2" t="str">
        <x:v>Conference Keynote</x:v>
      </x:c>
      <x:c r="K219" s="23" t="n">
        <x:v>70</x:v>
      </x:c>
      <x:c r="L219" s="16" t="str">
        <x:v>https://www.youtube.com/watch?v=nBtfBld4Xbk</x:v>
      </x:c>
      <x:c r="M219" s="21" t="str">
        <x:v>YouTube</x:v>
      </x:c>
      <x:c r="N219" s="24" t="n">
        <x:v>172</x:v>
      </x:c>
      <x:c r="O219" s="22" t="str">
        <x:v>B | University / Conference / Institution</x:v>
      </x:c>
      <x:c r="P219" s="22" t="str">
        <x:v>Recommended</x:v>
      </x:c>
      <x:c r="Q219" s="22" t="str">
        <x:v>Verified</x:v>
      </x:c>
      <x:c r="R219" s="25" t="n">
        <x:v>46244</x:v>
      </x:c>
      <x:c r="S219" s="17" t="str">
        <x:v>Title, channel, and public metadata reviewed.</x:v>
      </x:c>
      <x:c r="T219" s="16" t="str">
        <x:v>nBtfBld4Xbk</x:v>
      </x:c>
    </x:row>
    <x:row r="220" ht="42" customHeight="1">
      <x:c r="A220" s="21" t="str">
        <x:v>ST-219</x:v>
      </x:c>
      <x:c r="B220" s="21" t="str">
        <x:v>Talk</x:v>
      </x:c>
      <x:c r="C220" s="21" t="str">
        <x:v>Other</x:v>
      </x:c>
      <x:c r="D220" s="17" t="str">
        <x:v>Machine Learning Frontiers</x:v>
      </x:c>
      <x:c r="E220" s="17" t="str">
        <x:v>AI Systems / MLOps</x:v>
      </x:c>
      <x:c r="F220" s="22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2" t="str">
        <x:v>Conference Keynote</x:v>
      </x:c>
      <x:c r="K220" s="23" t="n">
        <x:v>64</x:v>
      </x:c>
      <x:c r="L220" s="16" t="str">
        <x:v>https://www.youtube.com/watch?v=ssPYXvUNd_o</x:v>
      </x:c>
      <x:c r="M220" s="21" t="str">
        <x:v>YouTube</x:v>
      </x:c>
      <x:c r="N220" s="24" t="n">
        <x:v>470</x:v>
      </x:c>
      <x:c r="O220" s="22" t="str">
        <x:v>B | University / Conference / Institution</x:v>
      </x:c>
      <x:c r="P220" s="22" t="str">
        <x:v>Recommended</x:v>
      </x:c>
      <x:c r="Q220" s="22" t="str">
        <x:v>Verified</x:v>
      </x:c>
      <x:c r="R220" s="25" t="n">
        <x:v>46244</x:v>
      </x:c>
      <x:c r="S220" s="17" t="str">
        <x:v>Title, channel, and public metadata reviewed.</x:v>
      </x:c>
      <x:c r="T220" s="16" t="str">
        <x:v>ssPYXvUNd_o</x:v>
      </x:c>
    </x:row>
    <x:row r="221" ht="42" customHeight="1">
      <x:c r="A221" s="21" t="str">
        <x:v>ST-220</x:v>
      </x:c>
      <x:c r="B221" s="21" t="str">
        <x:v>Talk</x:v>
      </x:c>
      <x:c r="C221" s="21" t="str">
        <x:v>Other</x:v>
      </x:c>
      <x:c r="D221" s="17" t="str">
        <x:v>Natural Language Processing</x:v>
      </x:c>
      <x:c r="E221" s="17" t="str">
        <x:v>Natural Language Processing; AI Education</x:v>
      </x:c>
      <x:c r="F221" s="22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2" t="str">
        <x:v>Research Talk</x:v>
      </x:c>
      <x:c r="K221" s="23" t="n">
        <x:v>50</x:v>
      </x:c>
      <x:c r="L221" s="16" t="str">
        <x:v>https://www.youtube.com/watch?v=j66_e7yVoAs</x:v>
      </x:c>
      <x:c r="M221" s="21" t="str">
        <x:v>YouTube</x:v>
      </x:c>
      <x:c r="N221" s="24" t="n">
        <x:v>380</x:v>
      </x:c>
      <x:c r="O221" s="22" t="str">
        <x:v>A | Official / Original Creator / Organizer</x:v>
      </x:c>
      <x:c r="P221" s="22" t="str">
        <x:v>Recommended</x:v>
      </x:c>
      <x:c r="Q221" s="22" t="str">
        <x:v>Verified</x:v>
      </x:c>
      <x:c r="R221" s="25" t="n">
        <x:v>46244</x:v>
      </x:c>
      <x:c r="S221" s="17" t="str">
        <x:v>Title, channel, and public metadata reviewed.</x:v>
      </x:c>
      <x:c r="T221" s="16" t="str">
        <x:v>j66_e7yVoAs</x:v>
      </x:c>
    </x:row>
    <x:row r="222" ht="42" customHeight="1">
      <x:c r="A222" s="21" t="str">
        <x:v>ST-221</x:v>
      </x:c>
      <x:c r="B222" s="21" t="str">
        <x:v>Talk</x:v>
      </x:c>
      <x:c r="C222" s="21" t="str">
        <x:v>Other</x:v>
      </x:c>
      <x:c r="D222" s="17" t="str">
        <x:v>Machine Learning Frontiers</x:v>
      </x:c>
      <x:c r="E222" s="17" t="str">
        <x:v>Machine Learning Frontiers</x:v>
      </x:c>
      <x:c r="F222" s="22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2" t="str">
        <x:v>Conference Keynote</x:v>
      </x:c>
      <x:c r="K222" s="23" t="n">
        <x:v>41</x:v>
      </x:c>
      <x:c r="L222" s="16" t="str">
        <x:v>https://www.youtube.com/watch?v=C7fhF8DXpto</x:v>
      </x:c>
      <x:c r="M222" s="21" t="str">
        <x:v>YouTube</x:v>
      </x:c>
      <x:c r="N222" s="24" t="n">
        <x:v>267</x:v>
      </x:c>
      <x:c r="O222" s="22" t="str">
        <x:v>B | University / Conference / Institution</x:v>
      </x:c>
      <x:c r="P222" s="22" t="str">
        <x:v>Recommended</x:v>
      </x:c>
      <x:c r="Q222" s="22" t="str">
        <x:v>Verified</x:v>
      </x:c>
      <x:c r="R222" s="25" t="n">
        <x:v>46244</x:v>
      </x:c>
      <x:c r="S222" s="17" t="str">
        <x:v>Title, channel, and public metadata reviewed.</x:v>
      </x:c>
      <x:c r="T222" s="16" t="str">
        <x:v>C7fhF8DXpto</x:v>
      </x:c>
    </x:row>
    <x:row r="223" ht="42" customHeight="1">
      <x:c r="A223" s="21" t="str">
        <x:v>ST-222</x:v>
      </x:c>
      <x:c r="B223" s="21" t="str">
        <x:v>Talk</x:v>
      </x:c>
      <x:c r="C223" s="21" t="str">
        <x:v>Other</x:v>
      </x:c>
      <x:c r="D223" s="17" t="str">
        <x:v>Natural Language Processing</x:v>
      </x:c>
      <x:c r="E223" s="17" t="str">
        <x:v>Natural Language Processing</x:v>
      </x:c>
      <x:c r="F223" s="22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2" t="str">
        <x:v>Conference Keynote</x:v>
      </x:c>
      <x:c r="K223" s="23" t="n">
        <x:v>25</x:v>
      </x:c>
      <x:c r="L223" s="16" t="str">
        <x:v>https://www.youtube.com/watch?v=DFnrLDdBJTA</x:v>
      </x:c>
      <x:c r="M223" s="21" t="str">
        <x:v>YouTube</x:v>
      </x:c>
      <x:c r="N223" s="24" t="n">
        <x:v>122</x:v>
      </x:c>
      <x:c r="O223" s="22" t="str">
        <x:v>B | University / Conference / Institution</x:v>
      </x:c>
      <x:c r="P223" s="22" t="str">
        <x:v>Recommended</x:v>
      </x:c>
      <x:c r="Q223" s="22" t="str">
        <x:v>Verified</x:v>
      </x:c>
      <x:c r="R223" s="25" t="n">
        <x:v>46244</x:v>
      </x:c>
      <x:c r="S223" s="17" t="str">
        <x:v>Title, channel, and public metadata reviewed.</x:v>
      </x:c>
      <x:c r="T223" s="16" t="str">
        <x:v>DFnrLDdBJTA</x:v>
      </x:c>
    </x:row>
    <x:row r="224" ht="42" customHeight="1">
      <x:c r="A224" s="21" t="str">
        <x:v>ST-223</x:v>
      </x:c>
      <x:c r="B224" s="21" t="str">
        <x:v>Talk</x:v>
      </x:c>
      <x:c r="C224" s="21" t="str">
        <x:v>Other</x:v>
      </x:c>
      <x:c r="D224" s="17" t="str">
        <x:v>Multimodal Learning</x:v>
      </x:c>
      <x:c r="E224" s="17" t="str">
        <x:v>Multimodal Learning; AI Education</x:v>
      </x:c>
      <x:c r="F224" s="22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2" t="str">
        <x:v>Research Talk</x:v>
      </x:c>
      <x:c r="K224" s="23" t="n">
        <x:v>37</x:v>
      </x:c>
      <x:c r="L224" s="16" t="str">
        <x:v>https://www.youtube.com/watch?v=U5dnL5qpW2w</x:v>
      </x:c>
      <x:c r="M224" s="21" t="str">
        <x:v>YouTube</x:v>
      </x:c>
      <x:c r="N224" s="24" t="n">
        <x:v>65</x:v>
      </x:c>
      <x:c r="O224" s="22" t="str">
        <x:v>B | University / Conference / Institution</x:v>
      </x:c>
      <x:c r="P224" s="22" t="str">
        <x:v>Recommended</x:v>
      </x:c>
      <x:c r="Q224" s="22" t="str">
        <x:v>Verified</x:v>
      </x:c>
      <x:c r="R224" s="25" t="n">
        <x:v>46244</x:v>
      </x:c>
      <x:c r="S224" s="17" t="str">
        <x:v>Title, channel, and public metadata reviewed.</x:v>
      </x:c>
      <x:c r="T224" s="16" t="str">
        <x:v>U5dnL5qpW2w</x:v>
      </x:c>
    </x:row>
    <x:row r="225" ht="42" customHeight="1">
      <x:c r="A225" s="21" t="str">
        <x:v>ST-224</x:v>
      </x:c>
      <x:c r="B225" s="21" t="str">
        <x:v>Talk</x:v>
      </x:c>
      <x:c r="C225" s="21" t="str">
        <x:v>Other</x:v>
      </x:c>
      <x:c r="D225" s="17" t="str">
        <x:v>AI for Science</x:v>
      </x:c>
      <x:c r="E225" s="17" t="str">
        <x:v>AI for Science; AI Education</x:v>
      </x:c>
      <x:c r="F225" s="22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2" t="str">
        <x:v>Research Seminar</x:v>
      </x:c>
      <x:c r="K225" s="23" t="n">
        <x:v>37</x:v>
      </x:c>
      <x:c r="L225" s="16" t="str">
        <x:v>https://www.youtube.com/watch?v=FuWtSkfkxFI</x:v>
      </x:c>
      <x:c r="M225" s="21" t="str">
        <x:v>YouTube</x:v>
      </x:c>
      <x:c r="N225" s="24" t="n">
        <x:v>620</x:v>
      </x:c>
      <x:c r="O225" s="22" t="str">
        <x:v>B | University / Conference / Institution</x:v>
      </x:c>
      <x:c r="P225" s="22" t="str">
        <x:v>Recommended</x:v>
      </x:c>
      <x:c r="Q225" s="22" t="str">
        <x:v>Verified</x:v>
      </x:c>
      <x:c r="R225" s="25" t="n">
        <x:v>46244</x:v>
      </x:c>
      <x:c r="S225" s="17" t="str">
        <x:v>Title, channel, and public metadata reviewed.</x:v>
      </x:c>
      <x:c r="T225" s="16" t="str">
        <x:v>FuWtSkfkxFI</x:v>
      </x:c>
    </x:row>
    <x:row r="226" ht="42" customHeight="1">
      <x:c r="A226" s="21" t="str">
        <x:v>ST-225</x:v>
      </x:c>
      <x:c r="B226" s="21" t="str">
        <x:v>Talk</x:v>
      </x:c>
      <x:c r="C226" s="21" t="str">
        <x:v>Other</x:v>
      </x:c>
      <x:c r="D226" s="17" t="str">
        <x:v>Trustworthy AI / Safety</x:v>
      </x:c>
      <x:c r="E226" s="17" t="str">
        <x:v>AI Safety / Alignment / Ethics</x:v>
      </x:c>
      <x:c r="F226" s="22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2" t="str">
        <x:v>Research Seminar</x:v>
      </x:c>
      <x:c r="K226" s="23" t="n">
        <x:v>64</x:v>
      </x:c>
      <x:c r="L226" s="16" t="str">
        <x:v>https://www.youtube.com/watch?v=JEcknGDhhrQ</x:v>
      </x:c>
      <x:c r="M226" s="21" t="str">
        <x:v>YouTube</x:v>
      </x:c>
      <x:c r="N226" s="24" t="n">
        <x:v>158</x:v>
      </x:c>
      <x:c r="O226" s="22" t="str">
        <x:v>B | University / Conference / Institution</x:v>
      </x:c>
      <x:c r="P226" s="22" t="str">
        <x:v>Recommended</x:v>
      </x:c>
      <x:c r="Q226" s="22" t="str">
        <x:v>Verified</x:v>
      </x:c>
      <x:c r="R226" s="25" t="n">
        <x:v>46244</x:v>
      </x:c>
      <x:c r="S226" s="17" t="str">
        <x:v>Title, channel, and public metadata reviewed.</x:v>
      </x:c>
      <x:c r="T226" s="16" t="str">
        <x:v>JEcknGDhhrQ</x:v>
      </x:c>
    </x:row>
    <x:row r="227" ht="42" customHeight="1">
      <x:c r="A227" s="21" t="str">
        <x:v>ST-226</x:v>
      </x:c>
      <x:c r="B227" s="21" t="str">
        <x:v>Interview</x:v>
      </x:c>
      <x:c r="C227" s="21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2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2" t="str">
        <x:v>Profile Interview</x:v>
      </x:c>
      <x:c r="K227" s="23" t="n">
        <x:v>405</x:v>
      </x:c>
      <x:c r="L227" s="16" t="str">
        <x:v>https://www.bilibili.com/video/BV1tew5zVEDf</x:v>
      </x:c>
      <x:c r="M227" s="21" t="str">
        <x:v>Bilibili</x:v>
      </x:c>
      <x:c r="N227" s="24" t="n">
        <x:v>249660</x:v>
      </x:c>
      <x:c r="O227" s="22" t="str">
        <x:v>A | Official / Original Creator / Organizer</x:v>
      </x:c>
      <x:c r="P227" s="22" t="str">
        <x:v>Core</x:v>
      </x:c>
      <x:c r="Q227" s="22" t="str">
        <x:v>Verified</x:v>
      </x:c>
      <x:c r="R227" s="25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</x:row>
    <x:row r="228" ht="42" customHeight="1">
      <x:c r="A228" s="21" t="str">
        <x:v>ST-227</x:v>
      </x:c>
      <x:c r="B228" s="21" t="str">
        <x:v>Interview</x:v>
      </x:c>
      <x:c r="C228" s="21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2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2" t="str">
        <x:v>Profile Interview</x:v>
      </x:c>
      <x:c r="K228" s="23" t="n">
        <x:v>201</x:v>
      </x:c>
      <x:c r="L228" s="16" t="str">
        <x:v>https://www.bilibili.com/video/BV1n2gD6gEoo</x:v>
      </x:c>
      <x:c r="M228" s="21" t="str">
        <x:v>Bilibili</x:v>
      </x:c>
      <x:c r="N228" s="24" t="n">
        <x:v>30073</x:v>
      </x:c>
      <x:c r="O228" s="22" t="str">
        <x:v>C | Community Selection</x:v>
      </x:c>
      <x:c r="P228" s="22" t="str">
        <x:v>Reserve</x:v>
      </x:c>
      <x:c r="Q228" s="22" t="str">
        <x:v>Verified</x:v>
      </x:c>
      <x:c r="R228" s="25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</x:row>
    <x:row r="229" ht="42" customHeight="1">
      <x:c r="A229" s="21" t="str">
        <x:v>ST-228</x:v>
      </x:c>
      <x:c r="B229" s="21" t="str">
        <x:v>Interview</x:v>
      </x:c>
      <x:c r="C229" s="21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2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2" t="str">
        <x:v>Profile Interview</x:v>
      </x:c>
      <x:c r="K229" s="23" t="n">
        <x:v>42</x:v>
      </x:c>
      <x:c r="L229" s="16" t="str">
        <x:v>https://www.bilibili.com/video/BV1CU3B6VEc4</x:v>
      </x:c>
      <x:c r="M229" s="21" t="str">
        <x:v>Bilibili</x:v>
      </x:c>
      <x:c r="N229" s="24" t="n">
        <x:v>11782</x:v>
      </x:c>
      <x:c r="O229" s="22" t="str">
        <x:v>C | Community Selection</x:v>
      </x:c>
      <x:c r="P229" s="22" t="str">
        <x:v>Reserve</x:v>
      </x:c>
      <x:c r="Q229" s="22" t="str">
        <x:v>Verified</x:v>
      </x:c>
      <x:c r="R229" s="25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</x:row>
    <x:row r="230" ht="42" customHeight="1">
      <x:c r="A230" s="21" t="str">
        <x:v>ST-229</x:v>
      </x:c>
      <x:c r="B230" s="21" t="str">
        <x:v>Interview</x:v>
      </x:c>
      <x:c r="C230" s="21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2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2" t="str">
        <x:v>Profile Interview</x:v>
      </x:c>
      <x:c r="K230" s="23" t="n">
        <x:v>82</x:v>
      </x:c>
      <x:c r="L230" s="16" t="str">
        <x:v>https://www.bilibili.com/video/BV1o5LP6VEc8</x:v>
      </x:c>
      <x:c r="M230" s="21" t="str">
        <x:v>Bilibili</x:v>
      </x:c>
      <x:c r="N230" s="24" t="n">
        <x:v>5953</x:v>
      </x:c>
      <x:c r="O230" s="22" t="str">
        <x:v>C | Community Selection</x:v>
      </x:c>
      <x:c r="P230" s="22" t="str">
        <x:v>Reserve</x:v>
      </x:c>
      <x:c r="Q230" s="22" t="str">
        <x:v>Verified</x:v>
      </x:c>
      <x:c r="R230" s="25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</x:row>
    <x:row r="231" ht="42" customHeight="1">
      <x:c r="A231" s="21" t="str">
        <x:v>ST-230</x:v>
      </x:c>
      <x:c r="B231" s="21" t="str">
        <x:v>Interview</x:v>
      </x:c>
      <x:c r="C231" s="21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2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2" t="str">
        <x:v>Profile Interview</x:v>
      </x:c>
      <x:c r="K231" s="23" t="n">
        <x:v>44</x:v>
      </x:c>
      <x:c r="L231" s="16" t="str">
        <x:v>https://www.bilibili.com/video/BV1Gz3WzPEUt</x:v>
      </x:c>
      <x:c r="M231" s="21" t="str">
        <x:v>Bilibili</x:v>
      </x:c>
      <x:c r="N231" s="24" t="n">
        <x:v>3836</x:v>
      </x:c>
      <x:c r="O231" s="22" t="str">
        <x:v>C | Community Selection</x:v>
      </x:c>
      <x:c r="P231" s="22" t="str">
        <x:v>Reserve</x:v>
      </x:c>
      <x:c r="Q231" s="22" t="str">
        <x:v>Verified</x:v>
      </x:c>
      <x:c r="R231" s="25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</x:row>
    <x:row r="232" ht="42" customHeight="1">
      <x:c r="A232" s="21" t="str">
        <x:v>ST-231</x:v>
      </x:c>
      <x:c r="B232" s="21" t="str">
        <x:v>Interview</x:v>
      </x:c>
      <x:c r="C232" s="21" t="str">
        <x:v>World Model</x:v>
      </x:c>
      <x:c r="D232" s="17" t="str">
        <x:v>World Models</x:v>
      </x:c>
      <x:c r="E232" s="17" t="str">
        <x:v>Embodied AI; Robotics; World Models</x:v>
      </x:c>
      <x:c r="F232" s="22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2" t="str">
        <x:v>Profile Interview</x:v>
      </x:c>
      <x:c r="K232" s="23" t="n">
        <x:v>14</x:v>
      </x:c>
      <x:c r="L232" s="16" t="str">
        <x:v>https://www.bilibili.com/video/BV13XTc6GEdV</x:v>
      </x:c>
      <x:c r="M232" s="21" t="str">
        <x:v>Bilibili</x:v>
      </x:c>
      <x:c r="N232" s="24" t="n">
        <x:v>2534</x:v>
      </x:c>
      <x:c r="O232" s="22" t="str">
        <x:v>C | Community Selection</x:v>
      </x:c>
      <x:c r="P232" s="22" t="str">
        <x:v>Reserve</x:v>
      </x:c>
      <x:c r="Q232" s="22" t="str">
        <x:v>Verified</x:v>
      </x:c>
      <x:c r="R232" s="25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</x:row>
    <x:row r="233" ht="42" customHeight="1">
      <x:c r="A233" s="21" t="str">
        <x:v>ST-232</x:v>
      </x:c>
      <x:c r="B233" s="21" t="str">
        <x:v>Interview</x:v>
      </x:c>
      <x:c r="C233" s="21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2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2" t="str">
        <x:v>Profile Interview</x:v>
      </x:c>
      <x:c r="K233" s="23" t="n">
        <x:v>81</x:v>
      </x:c>
      <x:c r="L233" s="16" t="str">
        <x:v>https://www.bilibili.com/video/BV1XQLu6pEJ3</x:v>
      </x:c>
      <x:c r="M233" s="21" t="str">
        <x:v>Bilibili</x:v>
      </x:c>
      <x:c r="N233" s="24" t="n">
        <x:v>2120</x:v>
      </x:c>
      <x:c r="O233" s="22" t="str">
        <x:v>C | Community Selection</x:v>
      </x:c>
      <x:c r="P233" s="22" t="str">
        <x:v>Reserve</x:v>
      </x:c>
      <x:c r="Q233" s="22" t="str">
        <x:v>Verified</x:v>
      </x:c>
      <x:c r="R233" s="25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</x:row>
    <x:row r="234" ht="42" customHeight="1">
      <x:c r="A234" s="21" t="str">
        <x:v>ST-233</x:v>
      </x:c>
      <x:c r="B234" s="21" t="str">
        <x:v>Interview</x:v>
      </x:c>
      <x:c r="C234" s="21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2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2" t="str">
        <x:v>Profile Interview</x:v>
      </x:c>
      <x:c r="K234" s="23" t="n">
        <x:v>53</x:v>
      </x:c>
      <x:c r="L234" s="16" t="str">
        <x:v>https://www.bilibili.com/video/BV1A2Fmz4ESa</x:v>
      </x:c>
      <x:c r="M234" s="21" t="str">
        <x:v>Bilibili</x:v>
      </x:c>
      <x:c r="N234" s="24" t="n">
        <x:v>1789</x:v>
      </x:c>
      <x:c r="O234" s="22" t="str">
        <x:v>C | Community Selection</x:v>
      </x:c>
      <x:c r="P234" s="22" t="str">
        <x:v>Reserve</x:v>
      </x:c>
      <x:c r="Q234" s="22" t="str">
        <x:v>Verified</x:v>
      </x:c>
      <x:c r="R234" s="25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</x:row>
    <x:row r="235" ht="42" customHeight="1">
      <x:c r="A235" s="21" t="str">
        <x:v>ST-234</x:v>
      </x:c>
      <x:c r="B235" s="21" t="str">
        <x:v>Interview</x:v>
      </x:c>
      <x:c r="C235" s="21" t="str">
        <x:v>Agent</x:v>
      </x:c>
      <x:c r="D235" s="17" t="str">
        <x:v>Agents</x:v>
      </x:c>
      <x:c r="E235" s="17" t="str">
        <x:v>Agents; Multi-Agent Systems</x:v>
      </x:c>
      <x:c r="F235" s="22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2" t="str">
        <x:v>Profile Interview</x:v>
      </x:c>
      <x:c r="K235" s="23" t="n">
        <x:v>25</x:v>
      </x:c>
      <x:c r="L235" s="16" t="str">
        <x:v>https://www.bilibili.com/video/BV1UsEn6HE4p</x:v>
      </x:c>
      <x:c r="M235" s="21" t="str">
        <x:v>Bilibili</x:v>
      </x:c>
      <x:c r="N235" s="24" t="n">
        <x:v>3048</x:v>
      </x:c>
      <x:c r="O235" s="22" t="str">
        <x:v>B | University / Conference / Institution</x:v>
      </x:c>
      <x:c r="P235" s="22" t="str">
        <x:v>Recommended</x:v>
      </x:c>
      <x:c r="Q235" s="22" t="str">
        <x:v>Verified</x:v>
      </x:c>
      <x:c r="R235" s="25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</x:row>
    <x:row r="236" ht="42" customHeight="1">
      <x:c r="A236" s="21" t="str">
        <x:v>ST-235</x:v>
      </x:c>
      <x:c r="B236" s="21" t="str">
        <x:v>Interview</x:v>
      </x:c>
      <x:c r="C236" s="21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2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2" t="str">
        <x:v>Profile Interview</x:v>
      </x:c>
      <x:c r="K236" s="23" t="n">
        <x:v>215</x:v>
      </x:c>
      <x:c r="L236" s="16" t="str">
        <x:v>https://www.bilibili.com/video/BV1iVoVBgERD</x:v>
      </x:c>
      <x:c r="M236" s="21" t="str">
        <x:v>Bilibili</x:v>
      </x:c>
      <x:c r="N236" s="24" t="n">
        <x:v>476487</x:v>
      </x:c>
      <x:c r="O236" s="22" t="str">
        <x:v>A | Official / Original Creator / Organizer</x:v>
      </x:c>
      <x:c r="P236" s="22" t="str">
        <x:v>Core</x:v>
      </x:c>
      <x:c r="Q236" s="22" t="str">
        <x:v>Verified</x:v>
      </x:c>
      <x:c r="R236" s="25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</x:row>
    <x:row r="237" ht="42" customHeight="1">
      <x:c r="A237" s="21" t="str">
        <x:v>ST-236</x:v>
      </x:c>
      <x:c r="B237" s="21" t="str">
        <x:v>Interview</x:v>
      </x:c>
      <x:c r="C237" s="21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2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2" t="str">
        <x:v>Profile Interview</x:v>
      </x:c>
      <x:c r="K237" s="23" t="n">
        <x:v>71</x:v>
      </x:c>
      <x:c r="L237" s="16" t="str">
        <x:v>https://www.bilibili.com/video/BV1N7oBYNEoU</x:v>
      </x:c>
      <x:c r="M237" s="21" t="str">
        <x:v>Bilibili</x:v>
      </x:c>
      <x:c r="N237" s="24" t="n">
        <x:v>69492</x:v>
      </x:c>
      <x:c r="O237" s="22" t="str">
        <x:v>A | Official / Original Creator / Organizer</x:v>
      </x:c>
      <x:c r="P237" s="22" t="str">
        <x:v>Core</x:v>
      </x:c>
      <x:c r="Q237" s="22" t="str">
        <x:v>Verified</x:v>
      </x:c>
      <x:c r="R237" s="25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</x:row>
    <x:row r="238" ht="42" customHeight="1">
      <x:c r="A238" s="21" t="str">
        <x:v>ST-237</x:v>
      </x:c>
      <x:c r="B238" s="21" t="str">
        <x:v>Interview</x:v>
      </x:c>
      <x:c r="C238" s="21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2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2" t="str">
        <x:v>Video Podcast</x:v>
      </x:c>
      <x:c r="K238" s="23" t="n">
        <x:v>38</x:v>
      </x:c>
      <x:c r="L238" s="16" t="str">
        <x:v>https://www.bilibili.com/video/BV1VGjh6WEf9</x:v>
      </x:c>
      <x:c r="M238" s="21" t="str">
        <x:v>Bilibili</x:v>
      </x:c>
      <x:c r="N238" s="24" t="n">
        <x:v>19177</x:v>
      </x:c>
      <x:c r="O238" s="22" t="str">
        <x:v>C | Community Selection</x:v>
      </x:c>
      <x:c r="P238" s="22" t="str">
        <x:v>Reserve</x:v>
      </x:c>
      <x:c r="Q238" s="22" t="str">
        <x:v>Verified</x:v>
      </x:c>
      <x:c r="R238" s="25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</x:row>
    <x:row r="239" ht="42" customHeight="1">
      <x:c r="A239" s="21" t="str">
        <x:v>ST-238</x:v>
      </x:c>
      <x:c r="B239" s="21" t="str">
        <x:v>Interview</x:v>
      </x:c>
      <x:c r="C239" s="21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2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2" t="str">
        <x:v>Profile Interview</x:v>
      </x:c>
      <x:c r="K239" s="23" t="n">
        <x:v>23</x:v>
      </x:c>
      <x:c r="L239" s="16" t="str">
        <x:v>https://www.bilibili.com/video/BV1aWi7B4EYt</x:v>
      </x:c>
      <x:c r="M239" s="21" t="str">
        <x:v>Bilibili</x:v>
      </x:c>
      <x:c r="N239" s="24" t="n">
        <x:v>2607</x:v>
      </x:c>
      <x:c r="O239" s="22" t="str">
        <x:v>C | Community Selection</x:v>
      </x:c>
      <x:c r="P239" s="22" t="str">
        <x:v>Reserve</x:v>
      </x:c>
      <x:c r="Q239" s="22" t="str">
        <x:v>Verified</x:v>
      </x:c>
      <x:c r="R239" s="25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</x:row>
    <x:row r="240" ht="42" customHeight="1">
      <x:c r="A240" s="21" t="str">
        <x:v>ST-239</x:v>
      </x:c>
      <x:c r="B240" s="21" t="str">
        <x:v>Interview</x:v>
      </x:c>
      <x:c r="C240" s="21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2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2" t="str">
        <x:v>Video Podcast</x:v>
      </x:c>
      <x:c r="K240" s="23" t="n">
        <x:v>56</x:v>
      </x:c>
      <x:c r="L240" s="16" t="str">
        <x:v>https://www.bilibili.com/video/BV12Lu16wEgL</x:v>
      </x:c>
      <x:c r="M240" s="21" t="str">
        <x:v>Bilibili</x:v>
      </x:c>
      <x:c r="N240" s="24" t="n">
        <x:v>1731</x:v>
      </x:c>
      <x:c r="O240" s="22" t="str">
        <x:v>C | Community Selection</x:v>
      </x:c>
      <x:c r="P240" s="22" t="str">
        <x:v>Reserve</x:v>
      </x:c>
      <x:c r="Q240" s="22" t="str">
        <x:v>Verified</x:v>
      </x:c>
      <x:c r="R240" s="25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</x:row>
    <x:row r="241" ht="42" customHeight="1">
      <x:c r="A241" s="21" t="str">
        <x:v>ST-240</x:v>
      </x:c>
      <x:c r="B241" s="21" t="str">
        <x:v>Interview</x:v>
      </x:c>
      <x:c r="C241" s="21" t="str">
        <x:v>Agent</x:v>
      </x:c>
      <x:c r="D241" s="17" t="str">
        <x:v>Agents</x:v>
      </x:c>
      <x:c r="E241" s="17" t="str">
        <x:v>Agents; Multi-Agent Systems</x:v>
      </x:c>
      <x:c r="F241" s="22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2" t="str">
        <x:v>Panel Discussion</x:v>
      </x:c>
      <x:c r="K241" s="23" t="n">
        <x:v>44</x:v>
      </x:c>
      <x:c r="L241" s="16" t="str">
        <x:v>https://www.bilibili.com/video/BV1QMuo6iEPW</x:v>
      </x:c>
      <x:c r="M241" s="21" t="str">
        <x:v>Bilibili</x:v>
      </x:c>
      <x:c r="N241" s="24" t="n">
        <x:v>83</x:v>
      </x:c>
      <x:c r="O241" s="22" t="str">
        <x:v>C | Community Selection</x:v>
      </x:c>
      <x:c r="P241" s="22" t="str">
        <x:v>Reserve</x:v>
      </x:c>
      <x:c r="Q241" s="22" t="str">
        <x:v>Verified</x:v>
      </x:c>
      <x:c r="R241" s="25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</x:row>
    <x:row r="242" ht="42" customHeight="1">
      <x:c r="A242" s="21" t="str">
        <x:v>ST-241</x:v>
      </x:c>
      <x:c r="B242" s="21" t="str">
        <x:v>Interview</x:v>
      </x:c>
      <x:c r="C242" s="21" t="str">
        <x:v>Agent</x:v>
      </x:c>
      <x:c r="D242" s="17" t="str">
        <x:v>Agents</x:v>
      </x:c>
      <x:c r="E242" s="17" t="str">
        <x:v>Agents; Multi-Agent Systems</x:v>
      </x:c>
      <x:c r="F242" s="22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2" t="str">
        <x:v>Profile Interview</x:v>
      </x:c>
      <x:c r="K242" s="23" t="n">
        <x:v>29</x:v>
      </x:c>
      <x:c r="L242" s="16" t="str">
        <x:v>https://www.bilibili.com/video/BV1RovaBTEAN</x:v>
      </x:c>
      <x:c r="M242" s="21" t="str">
        <x:v>Bilibili</x:v>
      </x:c>
      <x:c r="N242" s="24" t="n">
        <x:v>89600</x:v>
      </x:c>
      <x:c r="O242" s="22" t="str">
        <x:v>A | Official / Original Creator / Organizer</x:v>
      </x:c>
      <x:c r="P242" s="22" t="str">
        <x:v>Core</x:v>
      </x:c>
      <x:c r="Q242" s="22" t="str">
        <x:v>Verified</x:v>
      </x:c>
      <x:c r="R242" s="25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</x:row>
    <x:row r="243" ht="42" customHeight="1">
      <x:c r="A243" s="21" t="str">
        <x:v>ST-242</x:v>
      </x:c>
      <x:c r="B243" s="21" t="str">
        <x:v>Interview</x:v>
      </x:c>
      <x:c r="C243" s="21" t="str">
        <x:v>Vision</x:v>
      </x:c>
      <x:c r="D243" s="17" t="str">
        <x:v>Vision</x:v>
      </x:c>
      <x:c r="E243" s="17" t="str">
        <x:v>Vision</x:v>
      </x:c>
      <x:c r="F243" s="22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2" t="str">
        <x:v>Profile Interview</x:v>
      </x:c>
      <x:c r="K243" s="23" t="n">
        <x:v>16</x:v>
      </x:c>
      <x:c r="L243" s="16" t="str">
        <x:v>https://www.bilibili.com/video/BV1QD4y117Fn</x:v>
      </x:c>
      <x:c r="M243" s="21" t="str">
        <x:v>Bilibili</x:v>
      </x:c>
      <x:c r="N243" s="24" t="n">
        <x:v>93701</x:v>
      </x:c>
      <x:c r="O243" s="22" t="str">
        <x:v>B | University / Conference / Institution</x:v>
      </x:c>
      <x:c r="P243" s="22" t="str">
        <x:v>Recommended</x:v>
      </x:c>
      <x:c r="Q243" s="22" t="str">
        <x:v>Verified</x:v>
      </x:c>
      <x:c r="R243" s="25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</x:row>
    <x:row r="244" ht="42" customHeight="1">
      <x:c r="A244" s="21" t="str">
        <x:v>ST-243</x:v>
      </x:c>
      <x:c r="B244" s="21" t="str">
        <x:v>Interview</x:v>
      </x:c>
      <x:c r="C244" s="21" t="str">
        <x:v>Vision</x:v>
      </x:c>
      <x:c r="D244" s="17" t="str">
        <x:v>Vision</x:v>
      </x:c>
      <x:c r="E244" s="17" t="str">
        <x:v>Vision</x:v>
      </x:c>
      <x:c r="F244" s="22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2" t="str">
        <x:v>Profile Interview</x:v>
      </x:c>
      <x:c r="K244" s="23" t="n">
        <x:v>27</x:v>
      </x:c>
      <x:c r="L244" s="16" t="str">
        <x:v>https://www.bilibili.com/video/BV1D4eUzZEzc</x:v>
      </x:c>
      <x:c r="M244" s="21" t="str">
        <x:v>Bilibili</x:v>
      </x:c>
      <x:c r="N244" s="24" t="n">
        <x:v>44155</x:v>
      </x:c>
      <x:c r="O244" s="22" t="str">
        <x:v>C | Community Selection</x:v>
      </x:c>
      <x:c r="P244" s="22" t="str">
        <x:v>Reserve</x:v>
      </x:c>
      <x:c r="Q244" s="22" t="str">
        <x:v>Verified</x:v>
      </x:c>
      <x:c r="R244" s="25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</x:row>
    <x:row r="245" ht="42" customHeight="1">
      <x:c r="A245" s="21" t="str">
        <x:v>ST-244</x:v>
      </x:c>
      <x:c r="B245" s="21" t="str">
        <x:v>Interview</x:v>
      </x:c>
      <x:c r="C245" s="21" t="str">
        <x:v>Vision</x:v>
      </x:c>
      <x:c r="D245" s="17" t="str">
        <x:v>Vision</x:v>
      </x:c>
      <x:c r="E245" s="17" t="str">
        <x:v>Vision</x:v>
      </x:c>
      <x:c r="F245" s="22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2" t="str">
        <x:v>Profile Interview</x:v>
      </x:c>
      <x:c r="K245" s="23" t="n">
        <x:v>29</x:v>
      </x:c>
      <x:c r="L245" s="16" t="str">
        <x:v>https://www.bilibili.com/video/BV1bnfdBpEPs</x:v>
      </x:c>
      <x:c r="M245" s="21" t="str">
        <x:v>Bilibili</x:v>
      </x:c>
      <x:c r="N245" s="24" t="n">
        <x:v>22263</x:v>
      </x:c>
      <x:c r="O245" s="22" t="str">
        <x:v>C | Community Selection</x:v>
      </x:c>
      <x:c r="P245" s="22" t="str">
        <x:v>Reserve</x:v>
      </x:c>
      <x:c r="Q245" s="22" t="str">
        <x:v>Verified</x:v>
      </x:c>
      <x:c r="R245" s="25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</x:row>
    <x:row r="246" ht="42" customHeight="1">
      <x:c r="A246" s="21" t="str">
        <x:v>ST-245</x:v>
      </x:c>
      <x:c r="B246" s="21" t="str">
        <x:v>Interview</x:v>
      </x:c>
      <x:c r="C246" s="21" t="str">
        <x:v>Vision</x:v>
      </x:c>
      <x:c r="D246" s="17" t="str">
        <x:v>Vision</x:v>
      </x:c>
      <x:c r="E246" s="17" t="str">
        <x:v>Vision</x:v>
      </x:c>
      <x:c r="F246" s="22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2" t="str">
        <x:v>Profile Interview</x:v>
      </x:c>
      <x:c r="K246" s="23" t="n">
        <x:v>28</x:v>
      </x:c>
      <x:c r="L246" s="16" t="str">
        <x:v>https://www.bilibili.com/video/BV1hJ411F71K</x:v>
      </x:c>
      <x:c r="M246" s="21" t="str">
        <x:v>Bilibili</x:v>
      </x:c>
      <x:c r="N246" s="24" t="n">
        <x:v>5522</x:v>
      </x:c>
      <x:c r="O246" s="22" t="str">
        <x:v>B | University / Conference / Institution</x:v>
      </x:c>
      <x:c r="P246" s="22" t="str">
        <x:v>Recommended</x:v>
      </x:c>
      <x:c r="Q246" s="22" t="str">
        <x:v>Verified</x:v>
      </x:c>
      <x:c r="R246" s="25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</x:row>
    <x:row r="247" ht="42" customHeight="1">
      <x:c r="A247" s="21" t="str">
        <x:v>ST-246</x:v>
      </x:c>
      <x:c r="B247" s="21" t="str">
        <x:v>Interview</x:v>
      </x:c>
      <x:c r="C247" s="21" t="str">
        <x:v>Vision</x:v>
      </x:c>
      <x:c r="D247" s="17" t="str">
        <x:v>Vision</x:v>
      </x:c>
      <x:c r="E247" s="17" t="str">
        <x:v>Vision</x:v>
      </x:c>
      <x:c r="F247" s="22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2" t="str">
        <x:v>Profile Interview</x:v>
      </x:c>
      <x:c r="K247" s="23" t="n">
        <x:v>56</x:v>
      </x:c>
      <x:c r="L247" s="16" t="str">
        <x:v>https://www.bilibili.com/video/BV1dy7W63E5Q</x:v>
      </x:c>
      <x:c r="M247" s="21" t="str">
        <x:v>Bilibili</x:v>
      </x:c>
      <x:c r="N247" s="24" t="n">
        <x:v>5491</x:v>
      </x:c>
      <x:c r="O247" s="22" t="str">
        <x:v>C | Community Selection</x:v>
      </x:c>
      <x:c r="P247" s="22" t="str">
        <x:v>Reserve</x:v>
      </x:c>
      <x:c r="Q247" s="22" t="str">
        <x:v>Verified</x:v>
      </x:c>
      <x:c r="R247" s="25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</x:row>
    <x:row r="248" ht="42" customHeight="1">
      <x:c r="A248" s="21" t="str">
        <x:v>ST-247</x:v>
      </x:c>
      <x:c r="B248" s="21" t="str">
        <x:v>Interview</x:v>
      </x:c>
      <x:c r="C248" s="21" t="str">
        <x:v>Vision</x:v>
      </x:c>
      <x:c r="D248" s="17" t="str">
        <x:v>Vision</x:v>
      </x:c>
      <x:c r="E248" s="17" t="str">
        <x:v>Embodied AI; Robotics; World Models</x:v>
      </x:c>
      <x:c r="F248" s="22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2" t="str">
        <x:v>Profile Interview</x:v>
      </x:c>
      <x:c r="K248" s="23" t="n">
        <x:v>18</x:v>
      </x:c>
      <x:c r="L248" s="16" t="str">
        <x:v>https://www.bilibili.com/video/BV1q3VW6FELW</x:v>
      </x:c>
      <x:c r="M248" s="21" t="str">
        <x:v>Bilibili</x:v>
      </x:c>
      <x:c r="N248" s="24" t="n">
        <x:v>5365</x:v>
      </x:c>
      <x:c r="O248" s="22" t="str">
        <x:v>C | Community Selection</x:v>
      </x:c>
      <x:c r="P248" s="22" t="str">
        <x:v>Reserve</x:v>
      </x:c>
      <x:c r="Q248" s="22" t="str">
        <x:v>Verified</x:v>
      </x:c>
      <x:c r="R248" s="25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</x:row>
    <x:row r="249" ht="42" customHeight="1">
      <x:c r="A249" s="21" t="str">
        <x:v>ST-248</x:v>
      </x:c>
      <x:c r="B249" s="21" t="str">
        <x:v>Interview</x:v>
      </x:c>
      <x:c r="C249" s="21" t="str">
        <x:v>Vision</x:v>
      </x:c>
      <x:c r="D249" s="17" t="str">
        <x:v>Vision</x:v>
      </x:c>
      <x:c r="E249" s="17" t="str">
        <x:v>Agents; Multi-Agent Systems</x:v>
      </x:c>
      <x:c r="F249" s="22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2" t="str">
        <x:v>Profile Interview</x:v>
      </x:c>
      <x:c r="K249" s="23" t="n">
        <x:v>41</x:v>
      </x:c>
      <x:c r="L249" s="16" t="str">
        <x:v>https://www.bilibili.com/video/BV14sFzzzEMd</x:v>
      </x:c>
      <x:c r="M249" s="21" t="str">
        <x:v>Bilibili</x:v>
      </x:c>
      <x:c r="N249" s="24" t="n">
        <x:v>3939</x:v>
      </x:c>
      <x:c r="O249" s="22" t="str">
        <x:v>C | Community Selection</x:v>
      </x:c>
      <x:c r="P249" s="22" t="str">
        <x:v>Reserve</x:v>
      </x:c>
      <x:c r="Q249" s="22" t="str">
        <x:v>Verified</x:v>
      </x:c>
      <x:c r="R249" s="25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</x:row>
    <x:row r="250" ht="42" customHeight="1">
      <x:c r="A250" s="21" t="str">
        <x:v>ST-249</x:v>
      </x:c>
      <x:c r="B250" s="21" t="str">
        <x:v>Interview</x:v>
      </x:c>
      <x:c r="C250" s="21" t="str">
        <x:v>Vision</x:v>
      </x:c>
      <x:c r="D250" s="17" t="str">
        <x:v>Vision</x:v>
      </x:c>
      <x:c r="E250" s="17" t="str">
        <x:v>Vision</x:v>
      </x:c>
      <x:c r="F250" s="22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2" t="str">
        <x:v>Profile Interview</x:v>
      </x:c>
      <x:c r="K250" s="23" t="n">
        <x:v>25</x:v>
      </x:c>
      <x:c r="L250" s="16" t="str">
        <x:v>https://www.bilibili.com/video/BV1hi4y1G7zS</x:v>
      </x:c>
      <x:c r="M250" s="21" t="str">
        <x:v>Bilibili</x:v>
      </x:c>
      <x:c r="N250" s="24" t="n">
        <x:v>3264</x:v>
      </x:c>
      <x:c r="O250" s="22" t="str">
        <x:v>C | Community Selection</x:v>
      </x:c>
      <x:c r="P250" s="22" t="str">
        <x:v>Reserve</x:v>
      </x:c>
      <x:c r="Q250" s="22" t="str">
        <x:v>Verified</x:v>
      </x:c>
      <x:c r="R250" s="25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</x:row>
    <x:row r="251" ht="42" customHeight="1">
      <x:c r="A251" s="21" t="str">
        <x:v>ST-250</x:v>
      </x:c>
      <x:c r="B251" s="21" t="str">
        <x:v>Interview</x:v>
      </x:c>
      <x:c r="C251" s="21" t="str">
        <x:v>Robotics</x:v>
      </x:c>
      <x:c r="D251" s="17" t="str">
        <x:v>Robotics</x:v>
      </x:c>
      <x:c r="E251" s="17" t="str">
        <x:v>Embodied AI; Robotics; World Models</x:v>
      </x:c>
      <x:c r="F251" s="22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2" t="str">
        <x:v>Video Podcast</x:v>
      </x:c>
      <x:c r="K251" s="23" t="n">
        <x:v>91</x:v>
      </x:c>
      <x:c r="L251" s="16" t="str">
        <x:v>https://www.bilibili.com/video/BV1YnLB6TELA</x:v>
      </x:c>
      <x:c r="M251" s="21" t="str">
        <x:v>Bilibili</x:v>
      </x:c>
      <x:c r="N251" s="24" t="n">
        <x:v>1670045</x:v>
      </x:c>
      <x:c r="O251" s="22" t="str">
        <x:v>A | Official / Original Creator / Organizer</x:v>
      </x:c>
      <x:c r="P251" s="22" t="str">
        <x:v>Core</x:v>
      </x:c>
      <x:c r="Q251" s="22" t="str">
        <x:v>Verified</x:v>
      </x:c>
      <x:c r="R251" s="25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</x:row>
    <x:row r="252" ht="42" customHeight="1">
      <x:c r="A252" s="21" t="str">
        <x:v>ST-251</x:v>
      </x:c>
      <x:c r="B252" s="21" t="str">
        <x:v>Interview</x:v>
      </x:c>
      <x:c r="C252" s="21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2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2" t="str">
        <x:v>Profile Interview</x:v>
      </x:c>
      <x:c r="K252" s="23" t="n">
        <x:v>137</x:v>
      </x:c>
      <x:c r="L252" s="16" t="str">
        <x:v>https://www.bilibili.com/video/BV1usRgBEESe</x:v>
      </x:c>
      <x:c r="M252" s="21" t="str">
        <x:v>Bilibili</x:v>
      </x:c>
      <x:c r="N252" s="24" t="n">
        <x:v>188681</x:v>
      </x:c>
      <x:c r="O252" s="22" t="str">
        <x:v>B | University / Conference / Institution</x:v>
      </x:c>
      <x:c r="P252" s="22" t="str">
        <x:v>Recommended</x:v>
      </x:c>
      <x:c r="Q252" s="22" t="str">
        <x:v>Verified</x:v>
      </x:c>
      <x:c r="R252" s="25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</x:row>
    <x:row r="253" ht="42" customHeight="1">
      <x:c r="A253" s="21" t="str">
        <x:v>ST-252</x:v>
      </x:c>
      <x:c r="B253" s="21" t="str">
        <x:v>Interview</x:v>
      </x:c>
      <x:c r="C253" s="21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2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2" t="str">
        <x:v>Profile Interview</x:v>
      </x:c>
      <x:c r="K253" s="23" t="n">
        <x:v>226</x:v>
      </x:c>
      <x:c r="L253" s="16" t="str">
        <x:v>https://www.bilibili.com/video/BV12bNB6vEtt</x:v>
      </x:c>
      <x:c r="M253" s="21" t="str">
        <x:v>Bilibili</x:v>
      </x:c>
      <x:c r="N253" s="24" t="n">
        <x:v>86567</x:v>
      </x:c>
      <x:c r="O253" s="22" t="str">
        <x:v>A | Official / Original Creator / Organizer</x:v>
      </x:c>
      <x:c r="P253" s="22" t="str">
        <x:v>Core</x:v>
      </x:c>
      <x:c r="Q253" s="22" t="str">
        <x:v>Verified</x:v>
      </x:c>
      <x:c r="R253" s="25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</x:row>
    <x:row r="254" ht="42" customHeight="1">
      <x:c r="A254" s="21" t="str">
        <x:v>ST-253</x:v>
      </x:c>
      <x:c r="B254" s="21" t="str">
        <x:v>Interview</x:v>
      </x:c>
      <x:c r="C254" s="21" t="str">
        <x:v>Robotics</x:v>
      </x:c>
      <x:c r="D254" s="17" t="str">
        <x:v>Robotics</x:v>
      </x:c>
      <x:c r="E254" s="17" t="str">
        <x:v>Embodied AI; Robotics; World Models</x:v>
      </x:c>
      <x:c r="F254" s="22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2" t="str">
        <x:v>Profile Interview</x:v>
      </x:c>
      <x:c r="K254" s="23" t="n">
        <x:v>146</x:v>
      </x:c>
      <x:c r="L254" s="16" t="str">
        <x:v>https://www.bilibili.com/video/BV1ijuc6XEec</x:v>
      </x:c>
      <x:c r="M254" s="21" t="str">
        <x:v>Bilibili</x:v>
      </x:c>
      <x:c r="N254" s="24" t="n">
        <x:v>19648</x:v>
      </x:c>
      <x:c r="O254" s="22" t="str">
        <x:v>B | University / Conference / Institution</x:v>
      </x:c>
      <x:c r="P254" s="22" t="str">
        <x:v>Recommended</x:v>
      </x:c>
      <x:c r="Q254" s="22" t="str">
        <x:v>Verified</x:v>
      </x:c>
      <x:c r="R254" s="25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</x:row>
    <x:row r="255" ht="42" customHeight="1">
      <x:c r="A255" s="21" t="str">
        <x:v>ST-254</x:v>
      </x:c>
      <x:c r="B255" s="21" t="str">
        <x:v>Interview</x:v>
      </x:c>
      <x:c r="C255" s="21" t="str">
        <x:v>Robotics</x:v>
      </x:c>
      <x:c r="D255" s="17" t="str">
        <x:v>Robotics</x:v>
      </x:c>
      <x:c r="E255" s="17" t="str">
        <x:v>Embodied AI; Robotics; World Models</x:v>
      </x:c>
      <x:c r="F255" s="22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2" t="str">
        <x:v>Profile Interview</x:v>
      </x:c>
      <x:c r="K255" s="23" t="n">
        <x:v>12</x:v>
      </x:c>
      <x:c r="L255" s="16" t="str">
        <x:v>https://www.bilibili.com/video/BV1GSXZBSERC</x:v>
      </x:c>
      <x:c r="M255" s="21" t="str">
        <x:v>Bilibili</x:v>
      </x:c>
      <x:c r="N255" s="24" t="n">
        <x:v>12033</x:v>
      </x:c>
      <x:c r="O255" s="22" t="str">
        <x:v>C | Community Selection</x:v>
      </x:c>
      <x:c r="P255" s="22" t="str">
        <x:v>Reserve</x:v>
      </x:c>
      <x:c r="Q255" s="22" t="str">
        <x:v>Verified</x:v>
      </x:c>
      <x:c r="R255" s="25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</x:row>
    <x:row r="256" ht="42" customHeight="1">
      <x:c r="A256" s="21" t="str">
        <x:v>ST-255</x:v>
      </x:c>
      <x:c r="B256" s="21" t="str">
        <x:v>Interview</x:v>
      </x:c>
      <x:c r="C256" s="21" t="str">
        <x:v>Robotics</x:v>
      </x:c>
      <x:c r="D256" s="17" t="str">
        <x:v>Robotics</x:v>
      </x:c>
      <x:c r="E256" s="17" t="str">
        <x:v>Robotics</x:v>
      </x:c>
      <x:c r="F256" s="22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2" t="str">
        <x:v>Profile Interview</x:v>
      </x:c>
      <x:c r="K256" s="23" t="n">
        <x:v>20</x:v>
      </x:c>
      <x:c r="L256" s="16" t="str">
        <x:v>https://www.bilibili.com/video/BV1eFKP6nEAN</x:v>
      </x:c>
      <x:c r="M256" s="21" t="str">
        <x:v>Bilibili</x:v>
      </x:c>
      <x:c r="N256" s="24" t="n">
        <x:v>3642</x:v>
      </x:c>
      <x:c r="O256" s="22" t="str">
        <x:v>C | Community Selection</x:v>
      </x:c>
      <x:c r="P256" s="22" t="str">
        <x:v>Reserve</x:v>
      </x:c>
      <x:c r="Q256" s="22" t="str">
        <x:v>Verified</x:v>
      </x:c>
      <x:c r="R256" s="25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</x:row>
    <x:row r="257" ht="42" customHeight="1">
      <x:c r="A257" s="21" t="str">
        <x:v>ST-256</x:v>
      </x:c>
      <x:c r="B257" s="21" t="str">
        <x:v>Interview</x:v>
      </x:c>
      <x:c r="C257" s="21" t="str">
        <x:v>Robotics</x:v>
      </x:c>
      <x:c r="D257" s="17" t="str">
        <x:v>Robotics</x:v>
      </x:c>
      <x:c r="E257" s="17" t="str">
        <x:v>Embodied AI; Robotics; World Models</x:v>
      </x:c>
      <x:c r="F257" s="22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2" t="str">
        <x:v>Profile Interview</x:v>
      </x:c>
      <x:c r="K257" s="23" t="n">
        <x:v>27</x:v>
      </x:c>
      <x:c r="L257" s="16" t="str">
        <x:v>https://www.bilibili.com/video/BV16TKU6WEfP</x:v>
      </x:c>
      <x:c r="M257" s="21" t="str">
        <x:v>Bilibili</x:v>
      </x:c>
      <x:c r="N257" s="24" t="n">
        <x:v>3189</x:v>
      </x:c>
      <x:c r="O257" s="22" t="str">
        <x:v>B | University / Conference / Institution</x:v>
      </x:c>
      <x:c r="P257" s="22" t="str">
        <x:v>Recommended</x:v>
      </x:c>
      <x:c r="Q257" s="22" t="str">
        <x:v>Verified</x:v>
      </x:c>
      <x:c r="R257" s="25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</x:row>
    <x:row r="258" ht="42" customHeight="1">
      <x:c r="A258" s="21" t="str">
        <x:v>ST-257</x:v>
      </x:c>
      <x:c r="B258" s="21" t="str">
        <x:v>Interview</x:v>
      </x:c>
      <x:c r="C258" s="21" t="str">
        <x:v>Robotics</x:v>
      </x:c>
      <x:c r="D258" s="17" t="str">
        <x:v>Robotics</x:v>
      </x:c>
      <x:c r="E258" s="17" t="str">
        <x:v>Embodied AI; Robotics; World Models</x:v>
      </x:c>
      <x:c r="F258" s="22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2" t="str">
        <x:v>Profile Interview</x:v>
      </x:c>
      <x:c r="K258" s="23" t="n">
        <x:v>65</x:v>
      </x:c>
      <x:c r="L258" s="16" t="str">
        <x:v>https://www.bilibili.com/video/BV1hLvzBEEbS</x:v>
      </x:c>
      <x:c r="M258" s="21" t="str">
        <x:v>Bilibili</x:v>
      </x:c>
      <x:c r="N258" s="24" t="n">
        <x:v>2744</x:v>
      </x:c>
      <x:c r="O258" s="22" t="str">
        <x:v>C | Community Selection</x:v>
      </x:c>
      <x:c r="P258" s="22" t="str">
        <x:v>Reserve</x:v>
      </x:c>
      <x:c r="Q258" s="22" t="str">
        <x:v>Verified</x:v>
      </x:c>
      <x:c r="R258" s="25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</x:row>
    <x:row r="259" ht="42" customHeight="1">
      <x:c r="A259" s="21" t="str">
        <x:v>ST-258</x:v>
      </x:c>
      <x:c r="B259" s="21" t="str">
        <x:v>Course</x:v>
      </x:c>
      <x:c r="C259" s="21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2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2" t="str">
        <x:v>Open Course / Tutorial</x:v>
      </x:c>
      <x:c r="K259" s="23" t="n">
        <x:v>50</x:v>
      </x:c>
      <x:c r="L259" s="16" t="str">
        <x:v>https://www.bilibili.com/video/BV11LPWzNEkm</x:v>
      </x:c>
      <x:c r="M259" s="21" t="str">
        <x:v>Bilibili</x:v>
      </x:c>
      <x:c r="N259" s="24" t="n">
        <x:v>274484</x:v>
      </x:c>
      <x:c r="O259" s="22" t="str">
        <x:v>A | Official / Original Creator / Organizer</x:v>
      </x:c>
      <x:c r="P259" s="22" t="str">
        <x:v>Core</x:v>
      </x:c>
      <x:c r="Q259" s="22" t="str">
        <x:v>Verified</x:v>
      </x:c>
      <x:c r="R259" s="25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</x:row>
    <x:row r="260" ht="42" customHeight="1">
      <x:c r="A260" s="21" t="str">
        <x:v>ST-259</x:v>
      </x:c>
      <x:c r="B260" s="21" t="str">
        <x:v>Course</x:v>
      </x:c>
      <x:c r="C260" s="21" t="str">
        <x:v>World Model</x:v>
      </x:c>
      <x:c r="D260" s="17" t="str">
        <x:v>World Models</x:v>
      </x:c>
      <x:c r="E260" s="17" t="str">
        <x:v>Embodied AI; Robotics; World Models; Large Language Models; Foundation Models; Industry Insights</x:v>
      </x:c>
      <x:c r="F260" s="22" t="str">
        <x:v>Chinese</x:v>
      </x:c>
      <x:c r="G260" s="17" t="str">
        <x:v>【中配】杨立昆力推的JEPA是什么 通俗讲解核心原理 - bycloud</x:v>
      </x:c>
      <x:c r="H260" s="17" t="str">
        <x:v>中配</x:v>
      </x:c>
      <x:c r="I260" s="17" t="str">
        <x:v>黑纹白斑马</x:v>
      </x:c>
      <x:c r="J260" s="22" t="str">
        <x:v>Open Course / Tutorial</x:v>
      </x:c>
      <x:c r="K260" s="23" t="n">
        <x:v>17</x:v>
      </x:c>
      <x:c r="L260" s="16" t="str">
        <x:v>https://www.bilibili.com/video/BV1gWopBsE6D</x:v>
      </x:c>
      <x:c r="M260" s="21" t="str">
        <x:v>Bilibili</x:v>
      </x:c>
      <x:c r="N260" s="24" t="n">
        <x:v>26578</x:v>
      </x:c>
      <x:c r="O260" s="22" t="str">
        <x:v>C | Community Selection</x:v>
      </x:c>
      <x:c r="P260" s="22" t="str">
        <x:v>Reserve</x:v>
      </x:c>
      <x:c r="Q260" s="22" t="str">
        <x:v>Verified</x:v>
      </x:c>
      <x:c r="R260" s="25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BV1gWopBsE6D</x:v>
      </x:c>
    </x:row>
    <x:row r="261" ht="42" customHeight="1">
      <x:c r="A261" s="21" t="str">
        <x:v>ST-260</x:v>
      </x:c>
      <x:c r="B261" s="21" t="str">
        <x:v>Course</x:v>
      </x:c>
      <x:c r="C261" s="21" t="str">
        <x:v>World Model</x:v>
      </x:c>
      <x:c r="D261" s="17" t="str">
        <x:v>World Models</x:v>
      </x:c>
      <x:c r="E261" s="17" t="str">
        <x:v>Embodied AI; Robotics; World Models</x:v>
      </x:c>
      <x:c r="F261" s="22" t="str">
        <x:v>Chinese</x:v>
      </x:c>
      <x:c r="G261" s="17" t="str">
        <x:v>[浅读论文]小鹏X-World__世界模型如何实现VLA2.0的闭环仿真?</x:v>
      </x:c>
      <x:c r="H261" s="17" t="str">
        <x:v>浅读论文</x:v>
      </x:c>
      <x:c r="I261" s="17" t="str">
        <x:v>USTC_Beginner</x:v>
      </x:c>
      <x:c r="J261" s="22" t="str">
        <x:v>Open Course / Tutorial</x:v>
      </x:c>
      <x:c r="K261" s="23" t="n">
        <x:v>24</x:v>
      </x:c>
      <x:c r="L261" s="16" t="str">
        <x:v>https://www.bilibili.com/video/BV1g99nBLEMM</x:v>
      </x:c>
      <x:c r="M261" s="21" t="str">
        <x:v>Bilibili</x:v>
      </x:c>
      <x:c r="N261" s="24" t="n">
        <x:v>17640</x:v>
      </x:c>
      <x:c r="O261" s="22" t="str">
        <x:v>C | Community Selection</x:v>
      </x:c>
      <x:c r="P261" s="22" t="str">
        <x:v>Reserve</x:v>
      </x:c>
      <x:c r="Q261" s="22" t="str">
        <x:v>Verified</x:v>
      </x:c>
      <x:c r="R261" s="25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BV1g99nBLEMM</x:v>
      </x:c>
    </x:row>
    <x:row r="262" ht="42" customHeight="1">
      <x:c r="A262" s="21" t="str">
        <x:v>ST-261</x:v>
      </x:c>
      <x:c r="B262" s="21" t="str">
        <x:v>Course</x:v>
      </x:c>
      <x:c r="C262" s="21" t="str">
        <x:v>World Model</x:v>
      </x:c>
      <x:c r="D262" s="17" t="str">
        <x:v>World Models</x:v>
      </x:c>
      <x:c r="E262" s="17" t="str">
        <x:v>Embodied AI; Robotics; World Models; Large Language Models; Foundation Models; Industry Insights</x:v>
      </x:c>
      <x:c r="F262" s="22" t="str">
        <x:v>Chinese</x:v>
      </x:c>
      <x:c r="G262" s="17" t="str">
        <x:v>【浙江大学-大模型导论】第22讲 世界模型</x:v>
      </x:c>
      <x:c r="H262" s="17" t="str">
        <x:v>浙江大学-大模型导论</x:v>
      </x:c>
      <x:c r="I262" s="17" t="str">
        <x:v>毛玉仁老师</x:v>
      </x:c>
      <x:c r="J262" s="22" t="str">
        <x:v>Course Series</x:v>
      </x:c>
      <x:c r="K262" s="23" t="n">
        <x:v>17</x:v>
      </x:c>
      <x:c r="L262" s="16" t="str">
        <x:v>https://www.bilibili.com/video/BV1Lgcsz2Eou</x:v>
      </x:c>
      <x:c r="M262" s="21" t="str">
        <x:v>Bilibili</x:v>
      </x:c>
      <x:c r="N262" s="24" t="n">
        <x:v>8619</x:v>
      </x:c>
      <x:c r="O262" s="22" t="str">
        <x:v>C | Community Selection</x:v>
      </x:c>
      <x:c r="P262" s="22" t="str">
        <x:v>Reserve</x:v>
      </x:c>
      <x:c r="Q262" s="22" t="str">
        <x:v>Verified</x:v>
      </x:c>
      <x:c r="R262" s="25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BV1Lgcsz2Eou</x:v>
      </x:c>
    </x:row>
    <x:row r="263" ht="42" customHeight="1">
      <x:c r="A263" s="21" t="str">
        <x:v>ST-262</x:v>
      </x:c>
      <x:c r="B263" s="21" t="str">
        <x:v>Course</x:v>
      </x:c>
      <x:c r="C263" s="21" t="str">
        <x:v>World Model</x:v>
      </x:c>
      <x:c r="D263" s="17" t="str">
        <x:v>World Models</x:v>
      </x:c>
      <x:c r="E263" s="17" t="str">
        <x:v>Embodied AI; Robotics; World Models</x:v>
      </x:c>
      <x:c r="F263" s="22" t="str">
        <x:v>Chinese</x:v>
      </x:c>
      <x:c r="G263" s="17" t="str">
        <x:v>世界模型入门：LeWorldModel算法讲解 -- github 4k star的JEPA框架世界动作模型，1GB显存可运行</x:v>
      </x:c>
      <x:c r="H263" s="17" t="str">
        <x:v>To be added</x:v>
      </x:c>
      <x:c r="I263" s="17" t="str">
        <x:v>尤里卡AI</x:v>
      </x:c>
      <x:c r="J263" s="22" t="str">
        <x:v>Open Course / Tutorial</x:v>
      </x:c>
      <x:c r="K263" s="23" t="n">
        <x:v>28</x:v>
      </x:c>
      <x:c r="L263" s="16" t="str">
        <x:v>https://www.bilibili.com/video/BV19pT36rEsN</x:v>
      </x:c>
      <x:c r="M263" s="21" t="str">
        <x:v>Bilibili</x:v>
      </x:c>
      <x:c r="N263" s="24" t="n">
        <x:v>8515</x:v>
      </x:c>
      <x:c r="O263" s="22" t="str">
        <x:v>C | Community Selection</x:v>
      </x:c>
      <x:c r="P263" s="22" t="str">
        <x:v>Reserve</x:v>
      </x:c>
      <x:c r="Q263" s="22" t="str">
        <x:v>Verified</x:v>
      </x:c>
      <x:c r="R263" s="25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BV19pT36rEsN</x:v>
      </x:c>
    </x:row>
    <x:row r="264" ht="42" customHeight="1">
      <x:c r="A264" s="21" t="str">
        <x:v>ST-263</x:v>
      </x:c>
      <x:c r="B264" s="21" t="str">
        <x:v>Course</x:v>
      </x:c>
      <x:c r="C264" s="21" t="str">
        <x:v>World Model</x:v>
      </x:c>
      <x:c r="D264" s="17" t="str">
        <x:v>World Models</x:v>
      </x:c>
      <x:c r="E264" s="17" t="str">
        <x:v>Embodied AI; Robotics; World Models</x:v>
      </x:c>
      <x:c r="F264" s="22" t="str">
        <x:v>Chinese</x:v>
      </x:c>
      <x:c r="G264" s="17" t="str">
        <x:v>Yann LeCun | 自监督学习、JEPA、世界模型和人工智能的未来</x:v>
      </x:c>
      <x:c r="H264" s="17" t="str">
        <x:v>To be added</x:v>
      </x:c>
      <x:c r="I264" s="17" t="str">
        <x:v>AInsight</x:v>
      </x:c>
      <x:c r="J264" s="22" t="str">
        <x:v>Open Course / Tutorial</x:v>
      </x:c>
      <x:c r="K264" s="23" t="n">
        <x:v>69</x:v>
      </x:c>
      <x:c r="L264" s="16" t="str">
        <x:v>https://www.bilibili.com/video/BV15txgzNEGu</x:v>
      </x:c>
      <x:c r="M264" s="21" t="str">
        <x:v>Bilibili</x:v>
      </x:c>
      <x:c r="N264" s="24" t="n">
        <x:v>3191</x:v>
      </x:c>
      <x:c r="O264" s="22" t="str">
        <x:v>C | Community Selection</x:v>
      </x:c>
      <x:c r="P264" s="22" t="str">
        <x:v>Reserve</x:v>
      </x:c>
      <x:c r="Q264" s="22" t="str">
        <x:v>Verified</x:v>
      </x:c>
      <x:c r="R264" s="25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BV15txgzNEGu</x:v>
      </x:c>
    </x:row>
    <x:row r="265" ht="42" customHeight="1">
      <x:c r="A265" s="21" t="str">
        <x:v>ST-264</x:v>
      </x:c>
      <x:c r="B265" s="21" t="str">
        <x:v>Course</x:v>
      </x:c>
      <x:c r="C265" s="21" t="str">
        <x:v>World Model</x:v>
      </x:c>
      <x:c r="D265" s="17" t="str">
        <x:v>World Models</x:v>
      </x:c>
      <x:c r="E265" s="17" t="str">
        <x:v>Embodied AI; Robotics; World Models</x:v>
      </x:c>
      <x:c r="F265" s="22" t="str">
        <x:v>Chinese</x:v>
      </x:c>
      <x:c r="G265" s="17" t="str">
        <x:v>论文导读:  LeJEPA这篇文章到底说明了什么?</x:v>
      </x:c>
      <x:c r="H265" s="17" t="str">
        <x:v>To be added</x:v>
      </x:c>
      <x:c r="I265" s="17" t="str">
        <x:v>被迫成为理工男</x:v>
      </x:c>
      <x:c r="J265" s="22" t="str">
        <x:v>Open Course / Tutorial</x:v>
      </x:c>
      <x:c r="K265" s="23" t="n">
        <x:v>16</x:v>
      </x:c>
      <x:c r="L265" s="16" t="str">
        <x:v>https://www.bilibili.com/video/BV1diEc6GEM1</x:v>
      </x:c>
      <x:c r="M265" s="21" t="str">
        <x:v>Bilibili</x:v>
      </x:c>
      <x:c r="N265" s="24" t="n">
        <x:v>2751</x:v>
      </x:c>
      <x:c r="O265" s="22" t="str">
        <x:v>C | Community Selection</x:v>
      </x:c>
      <x:c r="P265" s="22" t="str">
        <x:v>Reserve</x:v>
      </x:c>
      <x:c r="Q265" s="22" t="str">
        <x:v>Verified</x:v>
      </x:c>
      <x:c r="R265" s="25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BV1diEc6GEM1</x:v>
      </x:c>
    </x:row>
    <x:row r="266" ht="42" customHeight="1">
      <x:c r="A266" s="21" t="str">
        <x:v>ST-265</x:v>
      </x:c>
      <x:c r="B266" s="21" t="str">
        <x:v>Course</x:v>
      </x:c>
      <x:c r="C266" s="21" t="str">
        <x:v>World Model</x:v>
      </x:c>
      <x:c r="D266" s="17" t="str">
        <x:v>World Models</x:v>
      </x:c>
      <x:c r="E266" s="17" t="str">
        <x:v>Embodied AI; Robotics; World Models</x:v>
      </x:c>
      <x:c r="F266" s="22" t="str">
        <x:v>Chinese</x:v>
      </x:c>
      <x:c r="G266" s="17" t="str">
        <x:v>世界模型DreamerV3论文拆解：从原理到模型完整结构分析</x:v>
      </x:c>
      <x:c r="H266" s="17" t="str">
        <x:v>To be added</x:v>
      </x:c>
      <x:c r="I266" s="17" t="str">
        <x:v>゚海问香</x:v>
      </x:c>
      <x:c r="J266" s="22" t="str">
        <x:v>Open Course / Tutorial</x:v>
      </x:c>
      <x:c r="K266" s="23" t="n">
        <x:v>34</x:v>
      </x:c>
      <x:c r="L266" s="16" t="str">
        <x:v>https://www.bilibili.com/video/BV1XeE96WEek</x:v>
      </x:c>
      <x:c r="M266" s="21" t="str">
        <x:v>Bilibili</x:v>
      </x:c>
      <x:c r="N266" s="24" t="n">
        <x:v>2069</x:v>
      </x:c>
      <x:c r="O266" s="22" t="str">
        <x:v>C | Community Selection</x:v>
      </x:c>
      <x:c r="P266" s="22" t="str">
        <x:v>Reserve</x:v>
      </x:c>
      <x:c r="Q266" s="22" t="str">
        <x:v>Verified</x:v>
      </x:c>
      <x:c r="R266" s="25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BV1XeE96WEek</x:v>
      </x:c>
    </x:row>
    <x:row r="267" ht="42" customHeight="1">
      <x:c r="A267" s="21" t="str">
        <x:v>ST-266</x:v>
      </x:c>
      <x:c r="B267" s="21" t="str">
        <x:v>Course</x:v>
      </x:c>
      <x:c r="C267" s="21" t="str">
        <x:v>Agent</x:v>
      </x:c>
      <x:c r="D267" s="17" t="str">
        <x:v>Agents</x:v>
      </x:c>
      <x:c r="E267" s="17" t="str">
        <x:v>Agents; Multi-Agent Systems; Large Language Models; Foundation Models; Industry Insights</x:v>
      </x:c>
      <x:c r="F267" s="22" t="str">
        <x:v>Chinese</x:v>
      </x:c>
      <x:c r="G267" s="17" t="str">
        <x:v>黑马程序员大模型RAG与Agent智能体项目实战教程，基于主流的LangChain技术从大模型提示词到实战项目</x:v>
      </x:c>
      <x:c r="H267" s="17" t="str">
        <x:v>To be added</x:v>
      </x:c>
      <x:c r="I267" s="17" t="str">
        <x:v>黑马程序员</x:v>
      </x:c>
      <x:c r="J267" s="22" t="str">
        <x:v>Open Course / Tutorial</x:v>
      </x:c>
      <x:c r="K267" s="23" t="n">
        <x:v>932</x:v>
      </x:c>
      <x:c r="L267" s="16" t="str">
        <x:v>https://www.bilibili.com/video/BV1yjz5BLEoY</x:v>
      </x:c>
      <x:c r="M267" s="21" t="str">
        <x:v>Bilibili</x:v>
      </x:c>
      <x:c r="N267" s="24" t="n">
        <x:v>3220640</x:v>
      </x:c>
      <x:c r="O267" s="22" t="str">
        <x:v>A | Official / Original Creator / Organizer</x:v>
      </x:c>
      <x:c r="P267" s="22" t="str">
        <x:v>Core</x:v>
      </x:c>
      <x:c r="Q267" s="22" t="str">
        <x:v>Verified</x:v>
      </x:c>
      <x:c r="R267" s="25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BV1yjz5BLEoY</x:v>
      </x:c>
    </x:row>
    <x:row r="268" ht="42" customHeight="1">
      <x:c r="A268" s="21" t="str">
        <x:v>ST-267</x:v>
      </x:c>
      <x:c r="B268" s="21" t="str">
        <x:v>Course</x:v>
      </x:c>
      <x:c r="C268" s="21" t="str">
        <x:v>Agent</x:v>
      </x:c>
      <x:c r="D268" s="17" t="str">
        <x:v>Agents</x:v>
      </x:c>
      <x:c r="E268" s="17" t="str">
        <x:v>Agents; Multi-Agent Systems; Large Language Models; Foundation Models; Industry Insights</x:v>
      </x:c>
      <x:c r="F268" s="22" t="str">
        <x:v>Chinese</x:v>
      </x:c>
      <x:c r="G268" s="17" t="str">
        <x:v>2026版LangChain教程，langchain快速入门， Agent智能体rag项目实战</x:v>
      </x:c>
      <x:c r="H268" s="17" t="str">
        <x:v>To be added</x:v>
      </x:c>
      <x:c r="I268" s="17" t="str">
        <x:v>尚硅谷</x:v>
      </x:c>
      <x:c r="J268" s="22" t="str">
        <x:v>Open Course / Tutorial</x:v>
      </x:c>
      <x:c r="K268" s="23" t="n">
        <x:v>1285</x:v>
      </x:c>
      <x:c r="L268" s="16" t="str">
        <x:v>https://www.bilibili.com/video/BV1rv7A6oEeP</x:v>
      </x:c>
      <x:c r="M268" s="21" t="str">
        <x:v>Bilibili</x:v>
      </x:c>
      <x:c r="N268" s="24" t="n">
        <x:v>1209156</x:v>
      </x:c>
      <x:c r="O268" s="22" t="str">
        <x:v>A | Official / Original Creator / Organizer</x:v>
      </x:c>
      <x:c r="P268" s="22" t="str">
        <x:v>Core</x:v>
      </x:c>
      <x:c r="Q268" s="22" t="str">
        <x:v>Verified</x:v>
      </x:c>
      <x:c r="R268" s="25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BV1rv7A6oEeP</x:v>
      </x:c>
    </x:row>
    <x:row r="269" ht="42" customHeight="1">
      <x:c r="A269" s="21" t="str">
        <x:v>ST-268</x:v>
      </x:c>
      <x:c r="B269" s="21" t="str">
        <x:v>Course</x:v>
      </x:c>
      <x:c r="C269" s="21" t="str">
        <x:v>Agent</x:v>
      </x:c>
      <x:c r="D269" s="17" t="str">
        <x:v>Agents</x:v>
      </x:c>
      <x:c r="E269" s="17" t="str">
        <x:v>Agents; Multi-Agent Systems; Trustworthy AI; Content Detection; Safety</x:v>
      </x:c>
      <x:c r="F269" s="22" t="str">
        <x:v>Chinese</x:v>
      </x:c>
      <x:c r="G269" s="17" t="str">
        <x:v>【2026新版Agent项目实战】企业级智能体实战教程，从入门到独立开发——涵盖Dify复杂业务流编排、RAGFlow高精度检索优化、MCP协议集成，黑马程序员</x:v>
      </x:c>
      <x:c r="H269" s="17" t="str">
        <x:v>2026新版Agent项目实战</x:v>
      </x:c>
      <x:c r="I269" s="17" t="str">
        <x:v>博学谷</x:v>
      </x:c>
      <x:c r="J269" s="22" t="str">
        <x:v>Open Course / Tutorial</x:v>
      </x:c>
      <x:c r="K269" s="23" t="n">
        <x:v>467</x:v>
      </x:c>
      <x:c r="L269" s="16" t="str">
        <x:v>https://www.bilibili.com/video/BV1JCzCBnEEg</x:v>
      </x:c>
      <x:c r="M269" s="21" t="str">
        <x:v>Bilibili</x:v>
      </x:c>
      <x:c r="N269" s="24" t="n">
        <x:v>65428</x:v>
      </x:c>
      <x:c r="O269" s="22" t="str">
        <x:v>C | Community Selection</x:v>
      </x:c>
      <x:c r="P269" s="22" t="str">
        <x:v>Reserve</x:v>
      </x:c>
      <x:c r="Q269" s="22" t="str">
        <x:v>Verified</x:v>
      </x:c>
      <x:c r="R269" s="25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BV1JCzCBnEEg</x:v>
      </x:c>
    </x:row>
    <x:row r="270" ht="42" customHeight="1">
      <x:c r="A270" s="21" t="str">
        <x:v>ST-269</x:v>
      </x:c>
      <x:c r="B270" s="21" t="str">
        <x:v>Course</x:v>
      </x:c>
      <x:c r="C270" s="21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2" t="str">
        <x:v>Chinese</x:v>
      </x:c>
      <x:c r="G270" s="17" t="str">
        <x:v>深度强化学习与多智能体强化学习 第一课</x:v>
      </x:c>
      <x:c r="H270" s="17" t="str">
        <x:v>To be added</x:v>
      </x:c>
      <x:c r="I270" s="17" t="str">
        <x:v>-xurunnan-</x:v>
      </x:c>
      <x:c r="J270" s="22" t="str">
        <x:v>Open Course / Tutorial</x:v>
      </x:c>
      <x:c r="K270" s="23" t="n">
        <x:v>186</x:v>
      </x:c>
      <x:c r="L270" s="16" t="str">
        <x:v>https://www.bilibili.com/video/BV1DK411y7Dv</x:v>
      </x:c>
      <x:c r="M270" s="21" t="str">
        <x:v>Bilibili</x:v>
      </x:c>
      <x:c r="N270" s="24" t="n">
        <x:v>43908</x:v>
      </x:c>
      <x:c r="O270" s="22" t="str">
        <x:v>C | Community Selection</x:v>
      </x:c>
      <x:c r="P270" s="22" t="str">
        <x:v>Reserve</x:v>
      </x:c>
      <x:c r="Q270" s="22" t="str">
        <x:v>Verified</x:v>
      </x:c>
      <x:c r="R270" s="25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BV1DK411y7Dv</x:v>
      </x:c>
    </x:row>
    <x:row r="271" ht="42" customHeight="1">
      <x:c r="A271" s="21" t="str">
        <x:v>ST-270</x:v>
      </x:c>
      <x:c r="B271" s="21" t="str">
        <x:v>Course</x:v>
      </x:c>
      <x:c r="C271" s="21" t="str">
        <x:v>Agent</x:v>
      </x:c>
      <x:c r="D271" s="17" t="str">
        <x:v>Agents</x:v>
      </x:c>
      <x:c r="E271" s="17" t="str">
        <x:v>Agents; Multi-Agent Systems; Reinforcement Learning; Policy Optimization</x:v>
      </x:c>
      <x:c r="F271" s="22" t="str">
        <x:v>Chinese</x:v>
      </x:c>
      <x:c r="G271" s="17" t="str">
        <x:v>多智能体强化学习</x:v>
      </x:c>
      <x:c r="H271" s="17" t="str">
        <x:v>To be added</x:v>
      </x:c>
      <x:c r="I271" s="17" t="str">
        <x:v>感知互联与数据智能</x:v>
      </x:c>
      <x:c r="J271" s="22" t="str">
        <x:v>Open Course / Tutorial</x:v>
      </x:c>
      <x:c r="K271" s="23" t="n">
        <x:v>50</x:v>
      </x:c>
      <x:c r="L271" s="16" t="str">
        <x:v>https://www.bilibili.com/video/BV1tF411b7bg</x:v>
      </x:c>
      <x:c r="M271" s="21" t="str">
        <x:v>Bilibili</x:v>
      </x:c>
      <x:c r="N271" s="24" t="n">
        <x:v>18244</x:v>
      </x:c>
      <x:c r="O271" s="22" t="str">
        <x:v>C | Community Selection</x:v>
      </x:c>
      <x:c r="P271" s="22" t="str">
        <x:v>Reserve</x:v>
      </x:c>
      <x:c r="Q271" s="22" t="str">
        <x:v>Verified</x:v>
      </x:c>
      <x:c r="R271" s="25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BV1tF411b7bg</x:v>
      </x:c>
    </x:row>
    <x:row r="272" ht="42" customHeight="1">
      <x:c r="A272" s="21" t="str">
        <x:v>ST-271</x:v>
      </x:c>
      <x:c r="B272" s="21" t="str">
        <x:v>Course</x:v>
      </x:c>
      <x:c r="C272" s="21" t="str">
        <x:v>Agent</x:v>
      </x:c>
      <x:c r="D272" s="17" t="str">
        <x:v>Agents</x:v>
      </x:c>
      <x:c r="E272" s="17" t="str">
        <x:v>Agents; Multi-Agent Systems; Reinforcement Learning; Policy Optimization</x:v>
      </x:c>
      <x:c r="F272" s="22" t="str">
        <x:v>Chinese</x:v>
      </x:c>
      <x:c r="G272" s="17" t="str">
        <x:v>深度强化学习与多智能体强化学习 第八课（下）-多智能体强化学习MADDPG</x:v>
      </x:c>
      <x:c r="H272" s="17" t="str">
        <x:v>To be added</x:v>
      </x:c>
      <x:c r="I272" s="17" t="str">
        <x:v>-xurunnan-</x:v>
      </x:c>
      <x:c r="J272" s="22" t="str">
        <x:v>Open Course / Tutorial</x:v>
      </x:c>
      <x:c r="K272" s="23" t="n">
        <x:v>76</x:v>
      </x:c>
      <x:c r="L272" s="16" t="str">
        <x:v>https://www.bilibili.com/video/BV1Fd4y1L7ZU</x:v>
      </x:c>
      <x:c r="M272" s="21" t="str">
        <x:v>Bilibili</x:v>
      </x:c>
      <x:c r="N272" s="24" t="n">
        <x:v>15913</x:v>
      </x:c>
      <x:c r="O272" s="22" t="str">
        <x:v>C | Community Selection</x:v>
      </x:c>
      <x:c r="P272" s="22" t="str">
        <x:v>Reserve</x:v>
      </x:c>
      <x:c r="Q272" s="22" t="str">
        <x:v>Verified</x:v>
      </x:c>
      <x:c r="R272" s="25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BV1Fd4y1L7ZU</x:v>
      </x:c>
    </x:row>
    <x:row r="273" ht="42" customHeight="1">
      <x:c r="A273" s="21" t="str">
        <x:v>ST-272</x:v>
      </x:c>
      <x:c r="B273" s="21" t="str">
        <x:v>Course</x:v>
      </x:c>
      <x:c r="C273" s="21" t="str">
        <x:v>Agent</x:v>
      </x:c>
      <x:c r="D273" s="17" t="str">
        <x:v>Agents</x:v>
      </x:c>
      <x:c r="E273" s="17" t="str">
        <x:v>Agents; Multi-Agent Systems</x:v>
      </x:c>
      <x:c r="F273" s="22" t="str">
        <x:v>Chinese</x:v>
      </x:c>
      <x:c r="G273" s="17" t="str">
        <x:v>微软最新AI Agent入门课程 • 中英</x:v>
      </x:c>
      <x:c r="H273" s="17" t="str">
        <x:v>To be added</x:v>
      </x:c>
      <x:c r="I273" s="17" t="str">
        <x:v>Mindofuture</x:v>
      </x:c>
      <x:c r="J273" s="22" t="str">
        <x:v>Open Course / Tutorial</x:v>
      </x:c>
      <x:c r="K273" s="23" t="n">
        <x:v>129</x:v>
      </x:c>
      <x:c r="L273" s="16" t="str">
        <x:v>https://www.bilibili.com/video/BV18TZYY8EuJ</x:v>
      </x:c>
      <x:c r="M273" s="21" t="str">
        <x:v>Bilibili</x:v>
      </x:c>
      <x:c r="N273" s="24" t="n">
        <x:v>15040</x:v>
      </x:c>
      <x:c r="O273" s="22" t="str">
        <x:v>C | Community Selection</x:v>
      </x:c>
      <x:c r="P273" s="22" t="str">
        <x:v>Reserve</x:v>
      </x:c>
      <x:c r="Q273" s="22" t="str">
        <x:v>Verified</x:v>
      </x:c>
      <x:c r="R273" s="25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BV18TZYY8EuJ</x:v>
      </x:c>
    </x:row>
    <x:row r="274" ht="42" customHeight="1">
      <x:c r="A274" s="21" t="str">
        <x:v>ST-273</x:v>
      </x:c>
      <x:c r="B274" s="21" t="str">
        <x:v>Course</x:v>
      </x:c>
      <x:c r="C274" s="21" t="str">
        <x:v>Agent</x:v>
      </x:c>
      <x:c r="D274" s="17" t="str">
        <x:v>Agents</x:v>
      </x:c>
      <x:c r="E274" s="17" t="str">
        <x:v>Agents; Multi-Agent Systems; Reinforcement Learning; Policy Optimization</x:v>
      </x:c>
      <x:c r="F274" s="22" t="str">
        <x:v>Chinese</x:v>
      </x:c>
      <x:c r="G274" s="17" t="str">
        <x:v>上海交大张伟楠强化学习课程第14讲：多智能体强化学习I</x:v>
      </x:c>
      <x:c r="H274" s="17" t="str">
        <x:v>To be added</x:v>
      </x:c>
      <x:c r="I274" s="17" t="str">
        <x:v>张伟楠SJTU</x:v>
      </x:c>
      <x:c r="J274" s="22" t="str">
        <x:v>Course Series</x:v>
      </x:c>
      <x:c r="K274" s="23" t="n">
        <x:v>33</x:v>
      </x:c>
      <x:c r="L274" s="16" t="str">
        <x:v>https://www.bilibili.com/video/BV1Qopze2E1M</x:v>
      </x:c>
      <x:c r="M274" s="21" t="str">
        <x:v>Bilibili</x:v>
      </x:c>
      <x:c r="N274" s="24" t="n">
        <x:v>12068</x:v>
      </x:c>
      <x:c r="O274" s="22" t="str">
        <x:v>C | Community Selection</x:v>
      </x:c>
      <x:c r="P274" s="22" t="str">
        <x:v>Reserve</x:v>
      </x:c>
      <x:c r="Q274" s="22" t="str">
        <x:v>Verified</x:v>
      </x:c>
      <x:c r="R274" s="25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BV1Qopze2E1M</x:v>
      </x:c>
    </x:row>
    <x:row r="275" ht="42" customHeight="1">
      <x:c r="A275" s="21" t="str">
        <x:v>ST-274</x:v>
      </x:c>
      <x:c r="B275" s="21" t="str">
        <x:v>Course</x:v>
      </x:c>
      <x:c r="C275" s="21" t="str">
        <x:v>Vision</x:v>
      </x:c>
      <x:c r="D275" s="17" t="str">
        <x:v>Vision</x:v>
      </x:c>
      <x:c r="E275" s="17" t="str">
        <x:v>Deep Learning; Neural Networks; Model Training; Trustworthy AI; Content Detection; Safety</x:v>
      </x:c>
      <x:c r="F275" s="22" t="str">
        <x:v>Chinese</x:v>
      </x:c>
      <x:c r="G275" s="17" t="str">
        <x:v>【中英双版·2025春季】李飞飞·斯坦福CS231n计算机视觉课程（全18讲）</x:v>
      </x:c>
      <x:c r="H275" s="17" t="str">
        <x:v>中英双版·2025春季</x:v>
      </x:c>
      <x:c r="I275" s="17" t="str">
        <x:v>人工智能网课</x:v>
      </x:c>
      <x:c r="J275" s="22" t="str">
        <x:v>Course Series</x:v>
      </x:c>
      <x:c r="K275" s="23" t="n">
        <x:v>1273</x:v>
      </x:c>
      <x:c r="L275" s="16" t="str">
        <x:v>https://www.bilibili.com/video/BV1YJ3PzLEiW</x:v>
      </x:c>
      <x:c r="M275" s="21" t="str">
        <x:v>Bilibili</x:v>
      </x:c>
      <x:c r="N275" s="24" t="n">
        <x:v>1152258</x:v>
      </x:c>
      <x:c r="O275" s="22" t="str">
        <x:v>B | University / Conference / Institution</x:v>
      </x:c>
      <x:c r="P275" s="22" t="str">
        <x:v>Recommended</x:v>
      </x:c>
      <x:c r="Q275" s="22" t="str">
        <x:v>Verified</x:v>
      </x:c>
      <x:c r="R275" s="25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BV1YJ3PzLEiW</x:v>
      </x:c>
    </x:row>
    <x:row r="276" ht="42" customHeight="1">
      <x:c r="A276" s="21" t="str">
        <x:v>ST-275</x:v>
      </x:c>
      <x:c r="B276" s="21" t="str">
        <x:v>Course</x:v>
      </x:c>
      <x:c r="C276" s="21" t="str">
        <x:v>Vision</x:v>
      </x:c>
      <x:c r="D276" s="17" t="str">
        <x:v>Vision</x:v>
      </x:c>
      <x:c r="E276" s="17" t="str">
        <x:v>Deep Learning; Neural Networks; Model Training</x:v>
      </x:c>
      <x:c r="F276" s="22" t="str">
        <x:v>Chinese</x:v>
      </x:c>
      <x:c r="G276" s="17" t="str">
        <x:v>计算机视觉与深度学习 北京邮电大学 鲁鹏 清晰版合集（完整版）</x:v>
      </x:c>
      <x:c r="H276" s="17" t="str">
        <x:v>To be added</x:v>
      </x:c>
      <x:c r="I276" s="17" t="str">
        <x:v>CV-xueba</x:v>
      </x:c>
      <x:c r="J276" s="22" t="str">
        <x:v>Open Course / Tutorial</x:v>
      </x:c>
      <x:c r="K276" s="23" t="n">
        <x:v>1597</x:v>
      </x:c>
      <x:c r="L276" s="16" t="str">
        <x:v>https://www.bilibili.com/video/BV1V54y1B7K3</x:v>
      </x:c>
      <x:c r="M276" s="21" t="str">
        <x:v>Bilibili</x:v>
      </x:c>
      <x:c r="N276" s="24" t="n">
        <x:v>725036</x:v>
      </x:c>
      <x:c r="O276" s="22" t="str">
        <x:v>B | University / Conference / Institution</x:v>
      </x:c>
      <x:c r="P276" s="22" t="str">
        <x:v>Recommended</x:v>
      </x:c>
      <x:c r="Q276" s="22" t="str">
        <x:v>Verified</x:v>
      </x:c>
      <x:c r="R276" s="25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BV1V54y1B7K3</x:v>
      </x:c>
    </x:row>
    <x:row r="277" ht="42" customHeight="1">
      <x:c r="A277" s="21" t="str">
        <x:v>ST-276</x:v>
      </x:c>
      <x:c r="B277" s="21" t="str">
        <x:v>Course</x:v>
      </x:c>
      <x:c r="C277" s="21" t="str">
        <x:v>Vision</x:v>
      </x:c>
      <x:c r="D277" s="17" t="str">
        <x:v>Vision</x:v>
      </x:c>
      <x:c r="E277" s="17" t="str">
        <x:v>Vision</x:v>
      </x:c>
      <x:c r="F277" s="22" t="str">
        <x:v>Chinese</x:v>
      </x:c>
      <x:c r="G277" s="17" t="str">
        <x:v>计算机视觉零基础入门</x:v>
      </x:c>
      <x:c r="H277" s="17" t="str">
        <x:v>To be added</x:v>
      </x:c>
      <x:c r="I277" s="17" t="str">
        <x:v>自兴人工智能教育</x:v>
      </x:c>
      <x:c r="J277" s="22" t="str">
        <x:v>Open Course / Tutorial</x:v>
      </x:c>
      <x:c r="K277" s="23" t="n">
        <x:v>1199</x:v>
      </x:c>
      <x:c r="L277" s="16" t="str">
        <x:v>https://www.bilibili.com/video/BV19x411X7k6</x:v>
      </x:c>
      <x:c r="M277" s="21" t="str">
        <x:v>Bilibili</x:v>
      </x:c>
      <x:c r="N277" s="24" t="n">
        <x:v>155551</x:v>
      </x:c>
      <x:c r="O277" s="22" t="str">
        <x:v>C | Community Selection</x:v>
      </x:c>
      <x:c r="P277" s="22" t="str">
        <x:v>Reserve</x:v>
      </x:c>
      <x:c r="Q277" s="22" t="str">
        <x:v>Verified</x:v>
      </x:c>
      <x:c r="R277" s="25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BV19x411X7k6</x:v>
      </x:c>
    </x:row>
    <x:row r="278" ht="42" customHeight="1">
      <x:c r="A278" s="21" t="str">
        <x:v>ST-277</x:v>
      </x:c>
      <x:c r="B278" s="21" t="str">
        <x:v>Course</x:v>
      </x:c>
      <x:c r="C278" s="21" t="str">
        <x:v>Vision</x:v>
      </x:c>
      <x:c r="D278" s="17" t="str">
        <x:v>Vision</x:v>
      </x:c>
      <x:c r="E278" s="17" t="str">
        <x:v>Vision</x:v>
      </x:c>
      <x:c r="F278" s="22" t="str">
        <x:v>Chinese</x:v>
      </x:c>
      <x:c r="G278" s="17" t="str">
        <x:v>Jetson Nano计算机视觉初学者全教程（含3项目）</x:v>
      </x:c>
      <x:c r="H278" s="17" t="str">
        <x:v>To be added</x:v>
      </x:c>
      <x:c r="I278" s="17" t="str">
        <x:v>啥都会一点的研究生</x:v>
      </x:c>
      <x:c r="J278" s="22" t="str">
        <x:v>Open Course / Tutorial</x:v>
      </x:c>
      <x:c r="K278" s="23" t="n">
        <x:v>272</x:v>
      </x:c>
      <x:c r="L278" s="16" t="str">
        <x:v>https://www.bilibili.com/video/BV1g44y1J7zS</x:v>
      </x:c>
      <x:c r="M278" s="21" t="str">
        <x:v>Bilibili</x:v>
      </x:c>
      <x:c r="N278" s="24" t="n">
        <x:v>67990</x:v>
      </x:c>
      <x:c r="O278" s="22" t="str">
        <x:v>C | Community Selection</x:v>
      </x:c>
      <x:c r="P278" s="22" t="str">
        <x:v>Reserve</x:v>
      </x:c>
      <x:c r="Q278" s="22" t="str">
        <x:v>Verified</x:v>
      </x:c>
      <x:c r="R278" s="25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BV1g44y1J7zS</x:v>
      </x:c>
    </x:row>
    <x:row r="279" ht="42" customHeight="1">
      <x:c r="A279" s="21" t="str">
        <x:v>ST-278</x:v>
      </x:c>
      <x:c r="B279" s="21" t="str">
        <x:v>Course</x:v>
      </x:c>
      <x:c r="C279" s="21" t="str">
        <x:v>Vision</x:v>
      </x:c>
      <x:c r="D279" s="17" t="str">
        <x:v>Vision</x:v>
      </x:c>
      <x:c r="E279" s="17" t="str">
        <x:v>Vision</x:v>
      </x:c>
      <x:c r="F279" s="22" t="str">
        <x:v>Chinese</x:v>
      </x:c>
      <x:c r="G279" s="17" t="str">
        <x:v>【OpenMMLab 公开课】计算机视觉与 OpenMMLab 概述</x:v>
      </x:c>
      <x:c r="H279" s="17" t="str">
        <x:v>OpenMMLab open course</x:v>
      </x:c>
      <x:c r="I279" s="17" t="str">
        <x:v>OpenMMLab</x:v>
      </x:c>
      <x:c r="J279" s="22" t="str">
        <x:v>Open Course / Tutorial</x:v>
      </x:c>
      <x:c r="K279" s="23" t="n">
        <x:v>93</x:v>
      </x:c>
      <x:c r="L279" s="16" t="str">
        <x:v>https://www.bilibili.com/video/BV1R341117FJ</x:v>
      </x:c>
      <x:c r="M279" s="21" t="str">
        <x:v>Bilibili</x:v>
      </x:c>
      <x:c r="N279" s="24" t="n">
        <x:v>21571</x:v>
      </x:c>
      <x:c r="O279" s="22" t="str">
        <x:v>A | Official / Original Creator / Organizer</x:v>
      </x:c>
      <x:c r="P279" s="22" t="str">
        <x:v>Core</x:v>
      </x:c>
      <x:c r="Q279" s="22" t="str">
        <x:v>Verified</x:v>
      </x:c>
      <x:c r="R279" s="25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BV1R341117FJ</x:v>
      </x:c>
    </x:row>
    <x:row r="280" ht="42" customHeight="1">
      <x:c r="A280" s="21" t="str">
        <x:v>ST-279</x:v>
      </x:c>
      <x:c r="B280" s="21" t="str">
        <x:v>Course</x:v>
      </x:c>
      <x:c r="C280" s="21" t="str">
        <x:v>Vision</x:v>
      </x:c>
      <x:c r="D280" s="17" t="str">
        <x:v>Vision</x:v>
      </x:c>
      <x:c r="E280" s="17" t="str">
        <x:v>Deep Learning; Neural Networks; Model Training</x:v>
      </x:c>
      <x:c r="F280" s="22" t="str">
        <x:v>Chinese</x:v>
      </x:c>
      <x:c r="G280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80" s="17" t="str">
        <x:v>（新12讲 ）计算机视觉公开课分享</x:v>
      </x:c>
      <x:c r="I280" s="17" t="str">
        <x:v>Darics</x:v>
      </x:c>
      <x:c r="J280" s="22" t="str">
        <x:v>Open Course / Tutorial</x:v>
      </x:c>
      <x:c r="K280" s="23" t="n">
        <x:v>1107</x:v>
      </x:c>
      <x:c r="L280" s="16" t="str">
        <x:v>https://www.bilibili.com/video/BV1NW4y1g7SX</x:v>
      </x:c>
      <x:c r="M280" s="21" t="str">
        <x:v>Bilibili</x:v>
      </x:c>
      <x:c r="N280" s="24" t="n">
        <x:v>4907</x:v>
      </x:c>
      <x:c r="O280" s="22" t="str">
        <x:v>C | Community Selection</x:v>
      </x:c>
      <x:c r="P280" s="22" t="str">
        <x:v>Reserve</x:v>
      </x:c>
      <x:c r="Q280" s="22" t="str">
        <x:v>Verified</x:v>
      </x:c>
      <x:c r="R280" s="25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BV1NW4y1g7SX</x:v>
      </x:c>
    </x:row>
    <x:row r="281" ht="42" customHeight="1">
      <x:c r="A281" s="21" t="str">
        <x:v>ST-280</x:v>
      </x:c>
      <x:c r="B281" s="21" t="str">
        <x:v>Course</x:v>
      </x:c>
      <x:c r="C281" s="21" t="str">
        <x:v>Vision</x:v>
      </x:c>
      <x:c r="D281" s="17" t="str">
        <x:v>Vision</x:v>
      </x:c>
      <x:c r="E281" s="17" t="str">
        <x:v>Vision</x:v>
      </x:c>
      <x:c r="F281" s="22" t="str">
        <x:v>Chinese</x:v>
      </x:c>
      <x:c r="G281" s="17" t="str">
        <x:v>适合所有基础的【MMLAB实战】教程！配置安装+原理讲解+代码实战，3个小时带你吃透论文实验神器OpenMMLAB框架！</x:v>
      </x:c>
      <x:c r="H281" s="17" t="str">
        <x:v>MMLAB实战</x:v>
      </x:c>
      <x:c r="I281" s="17" t="str">
        <x:v>迪哥有话聊</x:v>
      </x:c>
      <x:c r="J281" s="22" t="str">
        <x:v>Open Course / Tutorial</x:v>
      </x:c>
      <x:c r="K281" s="23" t="n">
        <x:v>438</x:v>
      </x:c>
      <x:c r="L281" s="16" t="str">
        <x:v>https://www.bilibili.com/video/BV1Mou4zaEjd</x:v>
      </x:c>
      <x:c r="M281" s="21" t="str">
        <x:v>Bilibili</x:v>
      </x:c>
      <x:c r="N281" s="24" t="n">
        <x:v>646</x:v>
      </x:c>
      <x:c r="O281" s="22" t="str">
        <x:v>C | Community Selection</x:v>
      </x:c>
      <x:c r="P281" s="22" t="str">
        <x:v>Reserve</x:v>
      </x:c>
      <x:c r="Q281" s="22" t="str">
        <x:v>Verified</x:v>
      </x:c>
      <x:c r="R281" s="25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BV1Mou4zaEjd</x:v>
      </x:c>
    </x:row>
    <x:row r="282" ht="42" customHeight="1">
      <x:c r="A282" s="21" t="str">
        <x:v>ST-281</x:v>
      </x:c>
      <x:c r="B282" s="21" t="str">
        <x:v>Course</x:v>
      </x:c>
      <x:c r="C282" s="21" t="str">
        <x:v>Vision</x:v>
      </x:c>
      <x:c r="D282" s="17" t="str">
        <x:v>Vision</x:v>
      </x:c>
      <x:c r="E282" s="17" t="str">
        <x:v>Deep Learning; Neural Networks; Model Training</x:v>
      </x:c>
      <x:c r="F282" s="22" t="str">
        <x:v>Chinese</x:v>
      </x:c>
      <x:c r="G282" s="17" t="str">
        <x:v>计算机视觉-深度学习, 李飞飞斯坦福CS231n | 2026最新版18讲 中英双语 深度学习必修【计算机-大四/研一】</x:v>
      </x:c>
      <x:c r="H282" s="17" t="str">
        <x:v>计算机-大四/研一</x:v>
      </x:c>
      <x:c r="I282" s="17" t="str">
        <x:v>AI学习日记</x:v>
      </x:c>
      <x:c r="J282" s="22" t="str">
        <x:v>Open Course / Tutorial</x:v>
      </x:c>
      <x:c r="K282" s="23" t="n">
        <x:v>915</x:v>
      </x:c>
      <x:c r="L282" s="16" t="str">
        <x:v>https://www.bilibili.com/video/BV16rub6gEUe</x:v>
      </x:c>
      <x:c r="M282" s="21" t="str">
        <x:v>Bilibili</x:v>
      </x:c>
      <x:c r="N282" s="24" t="n">
        <x:v>526</x:v>
      </x:c>
      <x:c r="O282" s="22" t="str">
        <x:v>B | University / Conference / Institution</x:v>
      </x:c>
      <x:c r="P282" s="22" t="str">
        <x:v>Recommended</x:v>
      </x:c>
      <x:c r="Q282" s="22" t="str">
        <x:v>Verified</x:v>
      </x:c>
      <x:c r="R282" s="25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BV16rub6gEUe</x:v>
      </x:c>
    </x:row>
    <x:row r="283" ht="42" customHeight="1">
      <x:c r="A283" s="21" t="str">
        <x:v>ST-282</x:v>
      </x:c>
      <x:c r="B283" s="21" t="str">
        <x:v>Course</x:v>
      </x:c>
      <x:c r="C283" s="21" t="str">
        <x:v>Robotics</x:v>
      </x:c>
      <x:c r="D283" s="17" t="str">
        <x:v>Robotics</x:v>
      </x:c>
      <x:c r="E283" s="17" t="str">
        <x:v>Embodied AI; Robotics; World Models</x:v>
      </x:c>
      <x:c r="F283" s="22" t="str">
        <x:v>Chinese</x:v>
      </x:c>
      <x:c r="G283" s="17" t="str">
        <x:v>【Autolabor初级教程】ROS机器人入门</x:v>
      </x:c>
      <x:c r="H283" s="17" t="str">
        <x:v>Autolabor初级教程</x:v>
      </x:c>
      <x:c r="I283" s="17" t="str">
        <x:v>Autolabor官方</x:v>
      </x:c>
      <x:c r="J283" s="22" t="str">
        <x:v>Open Course / Tutorial</x:v>
      </x:c>
      <x:c r="K283" s="23" t="n">
        <x:v>2955</x:v>
      </x:c>
      <x:c r="L283" s="16" t="str">
        <x:v>https://www.bilibili.com/video/BV1Ci4y1L7ZZ</x:v>
      </x:c>
      <x:c r="M283" s="21" t="str">
        <x:v>Bilibili</x:v>
      </x:c>
      <x:c r="N283" s="24" t="n">
        <x:v>3427671</x:v>
      </x:c>
      <x:c r="O283" s="22" t="str">
        <x:v>A | Official / Original Creator / Organizer</x:v>
      </x:c>
      <x:c r="P283" s="22" t="str">
        <x:v>Core</x:v>
      </x:c>
      <x:c r="Q283" s="22" t="str">
        <x:v>Verified</x:v>
      </x:c>
      <x:c r="R283" s="25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BV1Ci4y1L7ZZ</x:v>
      </x:c>
    </x:row>
    <x:row r="284" ht="42" customHeight="1">
      <x:c r="A284" s="21" t="str">
        <x:v>ST-283</x:v>
      </x:c>
      <x:c r="B284" s="21" t="str">
        <x:v>Course</x:v>
      </x:c>
      <x:c r="C284" s="21" t="str">
        <x:v>Robotics</x:v>
      </x:c>
      <x:c r="D284" s="17" t="str">
        <x:v>Robotics</x:v>
      </x:c>
      <x:c r="E284" s="17" t="str">
        <x:v>Embodied AI; Robotics; World Models</x:v>
      </x:c>
      <x:c r="F284" s="22" t="str">
        <x:v>Chinese</x:v>
      </x:c>
      <x:c r="G284" s="17" t="str">
        <x:v>【古月居】古月·ROS2入门21讲 | 带你认识一个全新的机器人操作系统</x:v>
      </x:c>
      <x:c r="H284" s="17" t="str">
        <x:v>古月居</x:v>
      </x:c>
      <x:c r="I284" s="17" t="str">
        <x:v>古月居GYH</x:v>
      </x:c>
      <x:c r="J284" s="22" t="str">
        <x:v>Open Course / Tutorial</x:v>
      </x:c>
      <x:c r="K284" s="23" t="n">
        <x:v>437</x:v>
      </x:c>
      <x:c r="L284" s="16" t="str">
        <x:v>https://www.bilibili.com/video/BV16B4y1Q7jQ</x:v>
      </x:c>
      <x:c r="M284" s="21" t="str">
        <x:v>Bilibili</x:v>
      </x:c>
      <x:c r="N284" s="24" t="n">
        <x:v>1051390</x:v>
      </x:c>
      <x:c r="O284" s="22" t="str">
        <x:v>C | Community Selection</x:v>
      </x:c>
      <x:c r="P284" s="22" t="str">
        <x:v>Reserve</x:v>
      </x:c>
      <x:c r="Q284" s="22" t="str">
        <x:v>Verified</x:v>
      </x:c>
      <x:c r="R284" s="25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BV16B4y1Q7jQ</x:v>
      </x:c>
    </x:row>
    <x:row r="285" ht="42" customHeight="1">
      <x:c r="A285" s="21" t="str">
        <x:v>ST-284</x:v>
      </x:c>
      <x:c r="B285" s="21" t="str">
        <x:v>Course</x:v>
      </x:c>
      <x:c r="C285" s="21" t="str">
        <x:v>Robotics</x:v>
      </x:c>
      <x:c r="D285" s="17" t="str">
        <x:v>Robotics</x:v>
      </x:c>
      <x:c r="E285" s="17" t="str">
        <x:v>Embodied AI; Robotics; World Models</x:v>
      </x:c>
      <x:c r="F285" s="22" t="str">
        <x:v>Chinese</x:v>
      </x:c>
      <x:c r="G285" s="17" t="str">
        <x:v>【2021.12.20更新】ROS机器人官方视频教程，从0开发ROS机器人</x:v>
      </x:c>
      <x:c r="H285" s="17" t="str">
        <x:v>2021.12.20更新</x:v>
      </x:c>
      <x:c r="I285" s="17" t="str">
        <x:v>朱有鹏</x:v>
      </x:c>
      <x:c r="J285" s="22" t="str">
        <x:v>Open Course / Tutorial</x:v>
      </x:c>
      <x:c r="K285" s="23" t="n">
        <x:v>922</x:v>
      </x:c>
      <x:c r="L285" s="16" t="str">
        <x:v>https://www.bilibili.com/video/BV1b5411g7hr</x:v>
      </x:c>
      <x:c r="M285" s="21" t="str">
        <x:v>Bilibili</x:v>
      </x:c>
      <x:c r="N285" s="24" t="n">
        <x:v>249757</x:v>
      </x:c>
      <x:c r="O285" s="22" t="str">
        <x:v>C | Community Selection</x:v>
      </x:c>
      <x:c r="P285" s="22" t="str">
        <x:v>Reserve</x:v>
      </x:c>
      <x:c r="Q285" s="22" t="str">
        <x:v>Verified</x:v>
      </x:c>
      <x:c r="R285" s="25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BV1b5411g7hr</x:v>
      </x:c>
    </x:row>
    <x:row r="286" ht="42" customHeight="1">
      <x:c r="A286" s="21" t="str">
        <x:v>ST-285</x:v>
      </x:c>
      <x:c r="B286" s="21" t="str">
        <x:v>Course</x:v>
      </x:c>
      <x:c r="C286" s="21" t="str">
        <x:v>Robotics</x:v>
      </x:c>
      <x:c r="D286" s="17" t="str">
        <x:v>Robotics</x:v>
      </x:c>
      <x:c r="E286" s="17" t="str">
        <x:v>Embodied AI; Robotics; World Models</x:v>
      </x:c>
      <x:c r="F286" s="22" t="str">
        <x:v>Chinese</x:v>
      </x:c>
      <x:c r="G286" s="17" t="str">
        <x:v>70分钟快速入门Gazebo机器人仿真</x:v>
      </x:c>
      <x:c r="H286" s="17" t="str">
        <x:v>To be added</x:v>
      </x:c>
      <x:c r="I286" s="17" t="str">
        <x:v>冰达机器人</x:v>
      </x:c>
      <x:c r="J286" s="22" t="str">
        <x:v>Open Course / Tutorial</x:v>
      </x:c>
      <x:c r="K286" s="23" t="n">
        <x:v>70</x:v>
      </x:c>
      <x:c r="L286" s="16" t="str">
        <x:v>https://www.bilibili.com/video/BV143411C75B</x:v>
      </x:c>
      <x:c r="M286" s="21" t="str">
        <x:v>Bilibili</x:v>
      </x:c>
      <x:c r="N286" s="24" t="n">
        <x:v>227068</x:v>
      </x:c>
      <x:c r="O286" s="22" t="str">
        <x:v>C | Community Selection</x:v>
      </x:c>
      <x:c r="P286" s="22" t="str">
        <x:v>Reserve</x:v>
      </x:c>
      <x:c r="Q286" s="22" t="str">
        <x:v>Verified</x:v>
      </x:c>
      <x:c r="R286" s="25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BV143411C75B</x:v>
      </x:c>
    </x:row>
    <x:row r="287" ht="42" customHeight="1">
      <x:c r="A287" s="21" t="str">
        <x:v>ST-286</x:v>
      </x:c>
      <x:c r="B287" s="21" t="str">
        <x:v>Course</x:v>
      </x:c>
      <x:c r="C287" s="21" t="str">
        <x:v>Robotics</x:v>
      </x:c>
      <x:c r="D287" s="17" t="str">
        <x:v>Robotics</x:v>
      </x:c>
      <x:c r="E287" s="17" t="str">
        <x:v>Embodied AI; Robotics; World Models</x:v>
      </x:c>
      <x:c r="F287" s="22" t="str">
        <x:v>Chinese</x:v>
      </x:c>
      <x:c r="G287" s="17" t="str">
        <x:v>机器人操作系统ROS零基础入门_ROS机器人入门课程【129课】</x:v>
      </x:c>
      <x:c r="H287" s="17" t="str">
        <x:v>129课</x:v>
      </x:c>
      <x:c r="I287" s="17" t="str">
        <x:v>让你三行代码</x:v>
      </x:c>
      <x:c r="J287" s="22" t="str">
        <x:v>Open Course / Tutorial</x:v>
      </x:c>
      <x:c r="K287" s="23" t="n">
        <x:v>1218</x:v>
      </x:c>
      <x:c r="L287" s="16" t="str">
        <x:v>https://www.bilibili.com/video/BV1164y1R7F8</x:v>
      </x:c>
      <x:c r="M287" s="21" t="str">
        <x:v>Bilibili</x:v>
      </x:c>
      <x:c r="N287" s="24" t="n">
        <x:v>53834</x:v>
      </x:c>
      <x:c r="O287" s="22" t="str">
        <x:v>C | Community Selection</x:v>
      </x:c>
      <x:c r="P287" s="22" t="str">
        <x:v>Reserve</x:v>
      </x:c>
      <x:c r="Q287" s="22" t="str">
        <x:v>Verified</x:v>
      </x:c>
      <x:c r="R287" s="25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BV1164y1R7F8</x:v>
      </x:c>
    </x:row>
    <x:row r="288" ht="42" customHeight="1">
      <x:c r="A288" s="21" t="str">
        <x:v>ST-287</x:v>
      </x:c>
      <x:c r="B288" s="21" t="str">
        <x:v>Course</x:v>
      </x:c>
      <x:c r="C288" s="21" t="str">
        <x:v>Robotics</x:v>
      </x:c>
      <x:c r="D288" s="17" t="str">
        <x:v>Robotics</x:v>
      </x:c>
      <x:c r="E288" s="17" t="str">
        <x:v>Embodied AI; Robotics; World Models</x:v>
      </x:c>
      <x:c r="F288" s="22" t="str">
        <x:v>Chinese</x:v>
      </x:c>
      <x:c r="G288" s="17" t="str">
        <x:v>【2026】ROS2入门教程，机器人开发入门到实战</x:v>
      </x:c>
      <x:c r="H288" s="17" t="str">
        <x:v>2026</x:v>
      </x:c>
      <x:c r="I288" s="17" t="str">
        <x:v>具身智能课程</x:v>
      </x:c>
      <x:c r="J288" s="22" t="str">
        <x:v>Open Course / Tutorial</x:v>
      </x:c>
      <x:c r="K288" s="23" t="n">
        <x:v>656</x:v>
      </x:c>
      <x:c r="L288" s="16" t="str">
        <x:v>https://www.bilibili.com/video/BV1cTVA6VENf</x:v>
      </x:c>
      <x:c r="M288" s="21" t="str">
        <x:v>Bilibili</x:v>
      </x:c>
      <x:c r="N288" s="24" t="n">
        <x:v>41553</x:v>
      </x:c>
      <x:c r="O288" s="22" t="str">
        <x:v>C | Community Selection</x:v>
      </x:c>
      <x:c r="P288" s="22" t="str">
        <x:v>Reserve</x:v>
      </x:c>
      <x:c r="Q288" s="22" t="str">
        <x:v>Verified</x:v>
      </x:c>
      <x:c r="R288" s="25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BV1cTVA6VENf</x:v>
      </x:c>
    </x:row>
    <x:row r="289" ht="42" customHeight="1">
      <x:c r="A289" s="21" t="str">
        <x:v>ST-288</x:v>
      </x:c>
      <x:c r="B289" s="21" t="str">
        <x:v>Course</x:v>
      </x:c>
      <x:c r="C289" s="21" t="str">
        <x:v>Robotics</x:v>
      </x:c>
      <x:c r="D289" s="17" t="str">
        <x:v>Robotics</x:v>
      </x:c>
      <x:c r="E289" s="17" t="str">
        <x:v>Embodied AI; Robotics; World Models</x:v>
      </x:c>
      <x:c r="F289" s="22" t="str">
        <x:v>Chinese</x:v>
      </x:c>
      <x:c r="G289" s="17" t="str">
        <x:v>教程来了!半小时速通VLA具身智能！爆改lerobot+蚂蚁灵波VLA上手实操超详细指导</x:v>
      </x:c>
      <x:c r="H289" s="17" t="str">
        <x:v>To be added</x:v>
      </x:c>
      <x:c r="I289" s="17" t="str">
        <x:v>陈老师具身xbotics</x:v>
      </x:c>
      <x:c r="J289" s="22" t="str">
        <x:v>Open Course / Tutorial</x:v>
      </x:c>
      <x:c r="K289" s="23" t="n">
        <x:v>33</x:v>
      </x:c>
      <x:c r="L289" s="16" t="str">
        <x:v>https://www.bilibili.com/video/BV1oUVG6NEZi</x:v>
      </x:c>
      <x:c r="M289" s="21" t="str">
        <x:v>Bilibili</x:v>
      </x:c>
      <x:c r="N289" s="24" t="n">
        <x:v>29790</x:v>
      </x:c>
      <x:c r="O289" s="22" t="str">
        <x:v>C | Community Selection</x:v>
      </x:c>
      <x:c r="P289" s="22" t="str">
        <x:v>Reserve</x:v>
      </x:c>
      <x:c r="Q289" s="22" t="str">
        <x:v>Verified</x:v>
      </x:c>
      <x:c r="R289" s="25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BV1oUVG6NEZi</x:v>
      </x:c>
    </x:row>
    <x:row r="290" ht="42" customHeight="1">
      <x:c r="A290" s="21" t="str">
        <x:v>ST-289</x:v>
      </x:c>
      <x:c r="B290" s="21" t="str">
        <x:v>Course</x:v>
      </x:c>
      <x:c r="C290" s="21" t="str">
        <x:v>Robotics</x:v>
      </x:c>
      <x:c r="D290" s="17" t="str">
        <x:v>Robotics</x:v>
      </x:c>
      <x:c r="E290" s="17" t="str">
        <x:v>Embodied AI; Robotics; World Models; Reinforcement Learning; Policy Optimization</x:v>
      </x:c>
      <x:c r="F290" s="22" t="str">
        <x:v>Chinese</x:v>
      </x:c>
      <x:c r="G290" s="17" t="str">
        <x:v>具身智能入门：基于模仿学习的方法（ACT、Aloha、mobile Aloha、behavior robot suite）</x:v>
      </x:c>
      <x:c r="H290" s="17" t="str">
        <x:v>To be added</x:v>
      </x:c>
      <x:c r="I290" s="17" t="str">
        <x:v>尤里卡AI</x:v>
      </x:c>
      <x:c r="J290" s="22" t="str">
        <x:v>Open Course / Tutorial</x:v>
      </x:c>
      <x:c r="K290" s="23" t="n">
        <x:v>32</x:v>
      </x:c>
      <x:c r="L290" s="16" t="str">
        <x:v>https://www.bilibili.com/video/BV1xgdDYeE4U</x:v>
      </x:c>
      <x:c r="M290" s="21" t="str">
        <x:v>Bilibili</x:v>
      </x:c>
      <x:c r="N290" s="24" t="n">
        <x:v>26173</x:v>
      </x:c>
      <x:c r="O290" s="22" t="str">
        <x:v>C | Community Selection</x:v>
      </x:c>
      <x:c r="P290" s="22" t="str">
        <x:v>Reserve</x:v>
      </x:c>
      <x:c r="Q290" s="22" t="str">
        <x:v>Verified</x:v>
      </x:c>
      <x:c r="R290" s="25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BV1xgdDYeE4U</x:v>
      </x:c>
    </x:row>
    <x:row r="291" ht="42" customHeight="1">
      <x:c r="A291" s="21" t="str">
        <x:v>ST-290</x:v>
      </x:c>
      <x:c r="B291" s="21" t="str">
        <x:v>Talk</x:v>
      </x:c>
      <x:c r="C291" s="21" t="str">
        <x:v>World Model</x:v>
      </x:c>
      <x:c r="D291" s="17" t="str">
        <x:v>World Models</x:v>
      </x:c>
      <x:c r="E291" s="17" t="str">
        <x:v>Embodied AI; Robotics; World Models; Agents; Multi-Agent Systems</x:v>
      </x:c>
      <x:c r="F291" s="22" t="str">
        <x:v>Chinese</x:v>
      </x:c>
      <x:c r="G291" s="17" t="str">
        <x:v>2026北京智源大会丨世界模型</x:v>
      </x:c>
      <x:c r="H291" s="17" t="str">
        <x:v>To be added</x:v>
      </x:c>
      <x:c r="I291" s="17" t="str">
        <x:v>智源社区</x:v>
      </x:c>
      <x:c r="J291" s="22" t="str">
        <x:v>Conference Talk / Forum</x:v>
      </x:c>
      <x:c r="K291" s="23" t="n">
        <x:v>363</x:v>
      </x:c>
      <x:c r="L291" s="16" t="str">
        <x:v>https://www.bilibili.com/video/BV16Yji65Ez1</x:v>
      </x:c>
      <x:c r="M291" s="21" t="str">
        <x:v>Bilibili</x:v>
      </x:c>
      <x:c r="N291" s="24" t="n">
        <x:v>9820</x:v>
      </x:c>
      <x:c r="O291" s="22" t="str">
        <x:v>A | Official / Original Creator / Organizer</x:v>
      </x:c>
      <x:c r="P291" s="22" t="str">
        <x:v>Core</x:v>
      </x:c>
      <x:c r="Q291" s="22" t="str">
        <x:v>Verified</x:v>
      </x:c>
      <x:c r="R291" s="25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BV16Yji65Ez1</x:v>
      </x:c>
    </x:row>
    <x:row r="292" ht="42" customHeight="1">
      <x:c r="A292" s="21" t="str">
        <x:v>ST-291</x:v>
      </x:c>
      <x:c r="B292" s="21" t="str">
        <x:v>Talk</x:v>
      </x:c>
      <x:c r="C292" s="21" t="str">
        <x:v>World Model</x:v>
      </x:c>
      <x:c r="D292" s="17" t="str">
        <x:v>World Models</x:v>
      </x:c>
      <x:c r="E292" s="17" t="str">
        <x:v>Embodied AI; Robotics; World Models; Agents; Multi-Agent Systems</x:v>
      </x:c>
      <x:c r="F292" s="22" t="str">
        <x:v>Chinese</x:v>
      </x:c>
      <x:c r="G292" s="17" t="str">
        <x:v>WAIC 2026 主论坛完整版——&lt;从虚拟到现实：世界模型如何驱动具身智能？&gt;</x:v>
      </x:c>
      <x:c r="H292" s="17" t="str">
        <x:v>To be added</x:v>
      </x:c>
      <x:c r="I292" s="17" t="str">
        <x:v>世界人工智能大会</x:v>
      </x:c>
      <x:c r="J292" s="22" t="str">
        <x:v>Conference Talk / Forum</x:v>
      </x:c>
      <x:c r="K292" s="23" t="n">
        <x:v>26</x:v>
      </x:c>
      <x:c r="L292" s="16" t="str">
        <x:v>https://www.bilibili.com/video/BV1iDgx68ETk</x:v>
      </x:c>
      <x:c r="M292" s="21" t="str">
        <x:v>Bilibili</x:v>
      </x:c>
      <x:c r="N292" s="24" t="n">
        <x:v>2060</x:v>
      </x:c>
      <x:c r="O292" s="22" t="str">
        <x:v>A | Official / Original Creator / Organizer</x:v>
      </x:c>
      <x:c r="P292" s="22" t="str">
        <x:v>Core</x:v>
      </x:c>
      <x:c r="Q292" s="22" t="str">
        <x:v>Verified</x:v>
      </x:c>
      <x:c r="R292" s="25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BV1iDgx68ETk</x:v>
      </x:c>
    </x:row>
    <x:row r="293" ht="42" customHeight="1">
      <x:c r="A293" s="21" t="str">
        <x:v>ST-292</x:v>
      </x:c>
      <x:c r="B293" s="21" t="str">
        <x:v>Talk</x:v>
      </x:c>
      <x:c r="C293" s="21" t="str">
        <x:v>World Model</x:v>
      </x:c>
      <x:c r="D293" s="17" t="str">
        <x:v>World Models</x:v>
      </x:c>
      <x:c r="E293" s="17" t="str">
        <x:v>Embodied AI; Robotics; World Models</x:v>
      </x:c>
      <x:c r="F293" s="22" t="str">
        <x:v>Chinese</x:v>
      </x:c>
      <x:c r="G293" s="17" t="str">
        <x:v>2026智源大会：世界模型</x:v>
      </x:c>
      <x:c r="H293" s="17" t="str">
        <x:v>To be added</x:v>
      </x:c>
      <x:c r="I293" s="17" t="str">
        <x:v>AI开讲啦</x:v>
      </x:c>
      <x:c r="J293" s="22" t="str">
        <x:v>Conference Talk / Forum</x:v>
      </x:c>
      <x:c r="K293" s="23" t="n">
        <x:v>365</x:v>
      </x:c>
      <x:c r="L293" s="16" t="str">
        <x:v>https://www.bilibili.com/video/BV1CKJG6xESk</x:v>
      </x:c>
      <x:c r="M293" s="21" t="str">
        <x:v>Bilibili</x:v>
      </x:c>
      <x:c r="N293" s="24" t="n">
        <x:v>5947</x:v>
      </x:c>
      <x:c r="O293" s="22" t="str">
        <x:v>C | Community Selection</x:v>
      </x:c>
      <x:c r="P293" s="22" t="str">
        <x:v>Reserve</x:v>
      </x:c>
      <x:c r="Q293" s="22" t="str">
        <x:v>Verified</x:v>
      </x:c>
      <x:c r="R293" s="25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BV1CKJG6xESk</x:v>
      </x:c>
    </x:row>
    <x:row r="294" ht="42" customHeight="1">
      <x:c r="A294" s="21" t="str">
        <x:v>ST-293</x:v>
      </x:c>
      <x:c r="B294" s="21" t="str">
        <x:v>Talk</x:v>
      </x:c>
      <x:c r="C294" s="21" t="str">
        <x:v>World Model</x:v>
      </x:c>
      <x:c r="D294" s="17" t="str">
        <x:v>World Models</x:v>
      </x:c>
      <x:c r="E294" s="17" t="str">
        <x:v>Embodied AI; Robotics; World Models</x:v>
      </x:c>
      <x:c r="F294" s="22" t="str">
        <x:v>Chinese</x:v>
      </x:c>
      <x:c r="G294" s="17" t="str">
        <x:v>VL-JEPA &amp; VLWM（2026智源大会世界模型论坛）</x:v>
      </x:c>
      <x:c r="H294" s="17" t="str">
        <x:v>To be added</x:v>
      </x:c>
      <x:c r="I294" s="17" t="str">
        <x:v>__陈德龙__</x:v>
      </x:c>
      <x:c r="J294" s="22" t="str">
        <x:v>Conference Talk / Forum</x:v>
      </x:c>
      <x:c r="K294" s="23" t="n">
        <x:v>31</x:v>
      </x:c>
      <x:c r="L294" s="16" t="str">
        <x:v>https://www.bilibili.com/video/BV1xpTG6hE1d</x:v>
      </x:c>
      <x:c r="M294" s="21" t="str">
        <x:v>Bilibili</x:v>
      </x:c>
      <x:c r="N294" s="24" t="n">
        <x:v>4405</x:v>
      </x:c>
      <x:c r="O294" s="22" t="str">
        <x:v>B | University / Conference / Institution</x:v>
      </x:c>
      <x:c r="P294" s="22" t="str">
        <x:v>Recommended</x:v>
      </x:c>
      <x:c r="Q294" s="22" t="str">
        <x:v>Verified</x:v>
      </x:c>
      <x:c r="R294" s="25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BV1xpTG6hE1d</x:v>
      </x:c>
    </x:row>
    <x:row r="295" ht="42" customHeight="1">
      <x:c r="A295" s="21" t="str">
        <x:v>ST-294</x:v>
      </x:c>
      <x:c r="B295" s="21" t="str">
        <x:v>Talk</x:v>
      </x:c>
      <x:c r="C295" s="21" t="str">
        <x:v>World Model</x:v>
      </x:c>
      <x:c r="D295" s="17" t="str">
        <x:v>World Models</x:v>
      </x:c>
      <x:c r="E295" s="17" t="str">
        <x:v>Embodied AI; Robotics; World Models; Large Language Models; Foundation Models; Industry Insights</x:v>
      </x:c>
      <x:c r="F295" s="22" t="str">
        <x:v>Chinese</x:v>
      </x:c>
      <x:c r="G295" s="17" t="str">
        <x:v>WAIC大模型分论坛：具身世界模型发展关键问题</x:v>
      </x:c>
      <x:c r="H295" s="17" t="str">
        <x:v>To be added</x:v>
      </x:c>
      <x:c r="I295" s="17" t="str">
        <x:v>居鲁仕</x:v>
      </x:c>
      <x:c r="J295" s="22" t="str">
        <x:v>Conference Talk / Forum</x:v>
      </x:c>
      <x:c r="K295" s="23" t="n">
        <x:v>23</x:v>
      </x:c>
      <x:c r="L295" s="16" t="str">
        <x:v>https://www.bilibili.com/video/BV13a8vzVEo6</x:v>
      </x:c>
      <x:c r="M295" s="21" t="str">
        <x:v>Bilibili</x:v>
      </x:c>
      <x:c r="N295" s="24" t="n">
        <x:v>2232</x:v>
      </x:c>
      <x:c r="O295" s="22" t="str">
        <x:v>B | University / Conference / Institution</x:v>
      </x:c>
      <x:c r="P295" s="22" t="str">
        <x:v>Recommended</x:v>
      </x:c>
      <x:c r="Q295" s="22" t="str">
        <x:v>Verified</x:v>
      </x:c>
      <x:c r="R295" s="25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BV13a8vzVEo6</x:v>
      </x:c>
    </x:row>
    <x:row r="296" ht="42" customHeight="1">
      <x:c r="A296" s="21" t="str">
        <x:v>ST-295</x:v>
      </x:c>
      <x:c r="B296" s="21" t="str">
        <x:v>Talk</x:v>
      </x:c>
      <x:c r="C296" s="21" t="str">
        <x:v>World Model</x:v>
      </x:c>
      <x:c r="D296" s="17" t="str">
        <x:v>World Models</x:v>
      </x:c>
      <x:c r="E296" s="17" t="str">
        <x:v>Embodied AI; Robotics; World Models</x:v>
      </x:c>
      <x:c r="F296" s="22" t="str">
        <x:v>Chinese</x:v>
      </x:c>
      <x:c r="G296" s="17" t="str">
        <x:v>昆仑万维·世界模型与多模态范式跃迁论坛</x:v>
      </x:c>
      <x:c r="H296" s="17" t="str">
        <x:v>To be added</x:v>
      </x:c>
      <x:c r="I296" s="17" t="str">
        <x:v>MissGodOne</x:v>
      </x:c>
      <x:c r="J296" s="22" t="str">
        <x:v>Conference Talk / Forum</x:v>
      </x:c>
      <x:c r="K296" s="23" t="n">
        <x:v>169</x:v>
      </x:c>
      <x:c r="L296" s="16" t="str">
        <x:v>https://www.bilibili.com/video/BV1bsgx6EEZz</x:v>
      </x:c>
      <x:c r="M296" s="21" t="str">
        <x:v>Bilibili</x:v>
      </x:c>
      <x:c r="N296" s="24" t="n">
        <x:v>115</x:v>
      </x:c>
      <x:c r="O296" s="22" t="str">
        <x:v>C | Community Selection</x:v>
      </x:c>
      <x:c r="P296" s="22" t="str">
        <x:v>Reserve</x:v>
      </x:c>
      <x:c r="Q296" s="22" t="str">
        <x:v>Verified</x:v>
      </x:c>
      <x:c r="R296" s="25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BV1bsgx6EEZz</x:v>
      </x:c>
    </x:row>
    <x:row r="297" ht="42" customHeight="1">
      <x:c r="A297" s="21" t="str">
        <x:v>ST-296</x:v>
      </x:c>
      <x:c r="B297" s="21" t="str">
        <x:v>Talk</x:v>
      </x:c>
      <x:c r="C297" s="21" t="str">
        <x:v>World Model</x:v>
      </x:c>
      <x:c r="D297" s="17" t="str">
        <x:v>World Models</x:v>
      </x:c>
      <x:c r="E297" s="17" t="str">
        <x:v>Embodied AI; Robotics; World Models; Large Language Models; Foundation Models; Industry Insights</x:v>
      </x:c>
      <x:c r="F297" s="22" t="str">
        <x:v>Chinese</x:v>
      </x:c>
      <x:c r="G297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7" s="17" t="str">
        <x:v>和专家探讨了《具身世界模型发展关键问题》</x:v>
      </x:c>
      <x:c r="I297" s="17" t="str">
        <x:v>绝影SenseAuto</x:v>
      </x:c>
      <x:c r="J297" s="22" t="str">
        <x:v>Conference Talk / Forum</x:v>
      </x:c>
      <x:c r="K297" s="23" t="n">
        <x:v>1</x:v>
      </x:c>
      <x:c r="L297" s="16" t="str">
        <x:v>https://www.bilibili.com/video/BV1EitczREg5</x:v>
      </x:c>
      <x:c r="M297" s="21" t="str">
        <x:v>Bilibili</x:v>
      </x:c>
      <x:c r="N297" s="24" t="n">
        <x:v>66</x:v>
      </x:c>
      <x:c r="O297" s="22" t="str">
        <x:v>B | University / Conference / Institution</x:v>
      </x:c>
      <x:c r="P297" s="22" t="str">
        <x:v>Recommended</x:v>
      </x:c>
      <x:c r="Q297" s="22" t="str">
        <x:v>Verified</x:v>
      </x:c>
      <x:c r="R297" s="25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BV1EitczREg5</x:v>
      </x:c>
    </x:row>
    <x:row r="298" ht="42" customHeight="1">
      <x:c r="A298" s="21" t="str">
        <x:v>ST-297</x:v>
      </x:c>
      <x:c r="B298" s="21" t="str">
        <x:v>Talk</x:v>
      </x:c>
      <x:c r="C298" s="21" t="str">
        <x:v>Agent</x:v>
      </x:c>
      <x:c r="D298" s="17" t="str">
        <x:v>Agents</x:v>
      </x:c>
      <x:c r="E298" s="17" t="str">
        <x:v>Embodied AI; Robotics; World Models; Agents; Multi-Agent Systems</x:v>
      </x:c>
      <x:c r="F298" s="22" t="str">
        <x:v>Chinese</x:v>
      </x:c>
      <x:c r="G298" s="17" t="str">
        <x:v>2026北京智源大会丨 Agent for Science</x:v>
      </x:c>
      <x:c r="H298" s="17" t="str">
        <x:v>To be added</x:v>
      </x:c>
      <x:c r="I298" s="17" t="str">
        <x:v>智源社区</x:v>
      </x:c>
      <x:c r="J298" s="22" t="str">
        <x:v>Conference Talk / Forum</x:v>
      </x:c>
      <x:c r="K298" s="23" t="n">
        <x:v>465</x:v>
      </x:c>
      <x:c r="L298" s="16" t="str">
        <x:v>https://www.bilibili.com/video/BV1m7ji6sEeT</x:v>
      </x:c>
      <x:c r="M298" s="21" t="str">
        <x:v>Bilibili</x:v>
      </x:c>
      <x:c r="N298" s="24" t="n">
        <x:v>2235</x:v>
      </x:c>
      <x:c r="O298" s="22" t="str">
        <x:v>A | Official / Original Creator / Organizer</x:v>
      </x:c>
      <x:c r="P298" s="22" t="str">
        <x:v>Core</x:v>
      </x:c>
      <x:c r="Q298" s="22" t="str">
        <x:v>Verified</x:v>
      </x:c>
      <x:c r="R298" s="25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BV1m7ji6sEeT</x:v>
      </x:c>
    </x:row>
    <x:row r="299" ht="42" customHeight="1">
      <x:c r="A299" s="21" t="str">
        <x:v>ST-298</x:v>
      </x:c>
      <x:c r="B299" s="21" t="str">
        <x:v>Talk</x:v>
      </x:c>
      <x:c r="C299" s="21" t="str">
        <x:v>Agent</x:v>
      </x:c>
      <x:c r="D299" s="17" t="str">
        <x:v>Agents</x:v>
      </x:c>
      <x:c r="E299" s="17" t="str">
        <x:v>Agents; Multi-Agent Systems; Large Language Models; Foundation Models; Industry Insights</x:v>
      </x:c>
      <x:c r="F299" s="22" t="str">
        <x:v>Chinese</x:v>
      </x:c>
      <x:c r="G299" s="17" t="str">
        <x:v>WAIC 2026 专题论坛：从一次性 Agent 到记忆原生智能时代</x:v>
      </x:c>
      <x:c r="H299" s="17" t="str">
        <x:v>To be added</x:v>
      </x:c>
      <x:c r="I299" s="17" t="str">
        <x:v>非逻辑工作室</x:v>
      </x:c>
      <x:c r="J299" s="22" t="str">
        <x:v>Conference Talk / Forum</x:v>
      </x:c>
      <x:c r="K299" s="23" t="n">
        <x:v>210</x:v>
      </x:c>
      <x:c r="L299" s="16" t="str">
        <x:v>https://www.bilibili.com/video/BV1R3Nf6qEhd</x:v>
      </x:c>
      <x:c r="M299" s="21" t="str">
        <x:v>Bilibili</x:v>
      </x:c>
      <x:c r="N299" s="24" t="n">
        <x:v>6629</x:v>
      </x:c>
      <x:c r="O299" s="22" t="str">
        <x:v>B | University / Conference / Institution</x:v>
      </x:c>
      <x:c r="P299" s="22" t="str">
        <x:v>Recommended</x:v>
      </x:c>
      <x:c r="Q299" s="22" t="str">
        <x:v>Verified</x:v>
      </x:c>
      <x:c r="R299" s="25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BV1R3Nf6qEhd</x:v>
      </x:c>
    </x:row>
    <x:row r="300" ht="42" customHeight="1">
      <x:c r="A300" s="21" t="str">
        <x:v>ST-299</x:v>
      </x:c>
      <x:c r="B300" s="21" t="str">
        <x:v>Talk</x:v>
      </x:c>
      <x:c r="C300" s="21" t="str">
        <x:v>Agent</x:v>
      </x:c>
      <x:c r="D300" s="17" t="str">
        <x:v>Agents</x:v>
      </x:c>
      <x:c r="E300" s="17" t="str">
        <x:v>Agents; Multi-Agent Systems; Large Language Models; Foundation Models; Industry Insights</x:v>
      </x:c>
      <x:c r="F300" s="22" t="str">
        <x:v>Chinese</x:v>
      </x:c>
      <x:c r="G300" s="17" t="str">
        <x:v>基于大模型的科学研究智能体 | AI for Science课程分享</x:v>
      </x:c>
      <x:c r="H300" s="17" t="str">
        <x:v>To be added</x:v>
      </x:c>
      <x:c r="I300" s="17" t="str">
        <x:v>中科院自动化所</x:v>
      </x:c>
      <x:c r="J300" s="22" t="str">
        <x:v>Academic Talk</x:v>
      </x:c>
      <x:c r="K300" s="23" t="n">
        <x:v>19</x:v>
      </x:c>
      <x:c r="L300" s="16" t="str">
        <x:v>https://www.bilibili.com/video/BV1NLXCYTErG</x:v>
      </x:c>
      <x:c r="M300" s="21" t="str">
        <x:v>Bilibili</x:v>
      </x:c>
      <x:c r="N300" s="24" t="n">
        <x:v>6338</x:v>
      </x:c>
      <x:c r="O300" s="22" t="str">
        <x:v>B | University / Conference / Institution</x:v>
      </x:c>
      <x:c r="P300" s="22" t="str">
        <x:v>Recommended</x:v>
      </x:c>
      <x:c r="Q300" s="22" t="str">
        <x:v>Verified</x:v>
      </x:c>
      <x:c r="R300" s="25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BV1NLXCYTErG</x:v>
      </x:c>
    </x:row>
    <x:row r="301" ht="42" customHeight="1">
      <x:c r="A301" s="21" t="str">
        <x:v>ST-300</x:v>
      </x:c>
      <x:c r="B301" s="21" t="str">
        <x:v>Talk</x:v>
      </x:c>
      <x:c r="C301" s="21" t="str">
        <x:v>Agent</x:v>
      </x:c>
      <x:c r="D301" s="17" t="str">
        <x:v>Agents</x:v>
      </x:c>
      <x:c r="E301" s="17" t="str">
        <x:v>Agents; Multi-Agent Systems</x:v>
      </x:c>
      <x:c r="F301" s="22" t="str">
        <x:v>Chinese</x:v>
      </x:c>
      <x:c r="G301" s="17" t="str">
        <x:v>智能体应用优秀案例分享会20250304_143530</x:v>
      </x:c>
      <x:c r="H301" s="17" t="str">
        <x:v>To be added</x:v>
      </x:c>
      <x:c r="I301" s="17" t="str">
        <x:v>xiegangqingn_com</x:v>
      </x:c>
      <x:c r="J301" s="22" t="str">
        <x:v>Academic Talk</x:v>
      </x:c>
      <x:c r="K301" s="23" t="n">
        <x:v>85</x:v>
      </x:c>
      <x:c r="L301" s="16" t="str">
        <x:v>https://www.bilibili.com/video/BV1fn9mYGEfN</x:v>
      </x:c>
      <x:c r="M301" s="21" t="str">
        <x:v>Bilibili</x:v>
      </x:c>
      <x:c r="N301" s="24" t="n">
        <x:v>3093</x:v>
      </x:c>
      <x:c r="O301" s="22" t="str">
        <x:v>C | Community Selection</x:v>
      </x:c>
      <x:c r="P301" s="22" t="str">
        <x:v>Reserve</x:v>
      </x:c>
      <x:c r="Q301" s="22" t="str">
        <x:v>Verified</x:v>
      </x:c>
      <x:c r="R301" s="25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BV1fn9mYGEfN</x:v>
      </x:c>
    </x:row>
    <x:row r="302" ht="42" customHeight="1">
      <x:c r="A302" s="21" t="str">
        <x:v>ST-301</x:v>
      </x:c>
      <x:c r="B302" s="21" t="str">
        <x:v>Talk</x:v>
      </x:c>
      <x:c r="C302" s="21" t="str">
        <x:v>Agent</x:v>
      </x:c>
      <x:c r="D302" s="17" t="str">
        <x:v>Agents</x:v>
      </x:c>
      <x:c r="E302" s="17" t="str">
        <x:v>Agents; Multi-Agent Systems</x:v>
      </x:c>
      <x:c r="F302" s="22" t="str">
        <x:v>Chinese</x:v>
      </x:c>
      <x:c r="G302" s="17" t="str">
        <x:v>AI工程师大会:如何构建能连续运行数小时的AI智能体</x:v>
      </x:c>
      <x:c r="H302" s="17" t="str">
        <x:v>To be added</x:v>
      </x:c>
      <x:c r="I302" s="17" t="str">
        <x:v>小龙虾学长</x:v>
      </x:c>
      <x:c r="J302" s="22" t="str">
        <x:v>Conference Talk / Forum</x:v>
      </x:c>
      <x:c r="K302" s="23" t="n">
        <x:v>72</x:v>
      </x:c>
      <x:c r="L302" s="16" t="str">
        <x:v>https://www.bilibili.com/video/BV1cGNc6QEKt</x:v>
      </x:c>
      <x:c r="M302" s="21" t="str">
        <x:v>Bilibili</x:v>
      </x:c>
      <x:c r="N302" s="24" t="n">
        <x:v>306</x:v>
      </x:c>
      <x:c r="O302" s="22" t="str">
        <x:v>C | Community Selection</x:v>
      </x:c>
      <x:c r="P302" s="22" t="str">
        <x:v>Reserve</x:v>
      </x:c>
      <x:c r="Q302" s="22" t="str">
        <x:v>Verified</x:v>
      </x:c>
      <x:c r="R302" s="25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BV1cGNc6QEKt</x:v>
      </x:c>
    </x:row>
    <x:row r="303" ht="42" customHeight="1">
      <x:c r="A303" s="21" t="str">
        <x:v>ST-302</x:v>
      </x:c>
      <x:c r="B303" s="21" t="str">
        <x:v>Talk</x:v>
      </x:c>
      <x:c r="C303" s="21" t="str">
        <x:v>Agent</x:v>
      </x:c>
      <x:c r="D303" s="17" t="str">
        <x:v>Agents</x:v>
      </x:c>
      <x:c r="E303" s="17" t="str">
        <x:v>Agents; Multi-Agent Systems</x:v>
      </x:c>
      <x:c r="F303" s="22" t="str">
        <x:v>Chinese</x:v>
      </x:c>
      <x:c r="G303" s="17" t="str">
        <x:v>西门子·工业AI迈进现实_-_工业AI创新论坛暨Eigen工程智能体发布会</x:v>
      </x:c>
      <x:c r="H303" s="17" t="str">
        <x:v>To be added</x:v>
      </x:c>
      <x:c r="I303" s="17" t="str">
        <x:v>MissGodOne</x:v>
      </x:c>
      <x:c r="J303" s="22" t="str">
        <x:v>Conference Talk / Forum</x:v>
      </x:c>
      <x:c r="K303" s="23" t="n">
        <x:v>94</x:v>
      </x:c>
      <x:c r="L303" s="16" t="str">
        <x:v>https://www.bilibili.com/video/BV1JLgC6EEbb</x:v>
      </x:c>
      <x:c r="M303" s="21" t="str">
        <x:v>Bilibili</x:v>
      </x:c>
      <x:c r="N303" s="24" t="n">
        <x:v>202</x:v>
      </x:c>
      <x:c r="O303" s="22" t="str">
        <x:v>C | Community Selection</x:v>
      </x:c>
      <x:c r="P303" s="22" t="str">
        <x:v>Reserve</x:v>
      </x:c>
      <x:c r="Q303" s="22" t="str">
        <x:v>Verified</x:v>
      </x:c>
      <x:c r="R303" s="25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BV1JLgC6EEbb</x:v>
      </x:c>
    </x:row>
    <x:row r="304" ht="42" customHeight="1">
      <x:c r="A304" s="21" t="str">
        <x:v>ST-303</x:v>
      </x:c>
      <x:c r="B304" s="21" t="str">
        <x:v>Talk</x:v>
      </x:c>
      <x:c r="C304" s="21" t="str">
        <x:v>Agent</x:v>
      </x:c>
      <x:c r="D304" s="17" t="str">
        <x:v>Agents</x:v>
      </x:c>
      <x:c r="E304" s="17" t="str">
        <x:v>Agents; Multi-Agent Systems; Trustworthy AI; Content Detection; Safety</x:v>
      </x:c>
      <x:c r="F304" s="22" t="str">
        <x:v>Chinese</x:v>
      </x:c>
      <x:c r="G304" s="17" t="str">
        <x:v>前沿AI与智能体安全论坛</x:v>
      </x:c>
      <x:c r="H304" s="17" t="str">
        <x:v>To be added</x:v>
      </x:c>
      <x:c r="I304" s="17" t="str">
        <x:v>MissGodOne</x:v>
      </x:c>
      <x:c r="J304" s="22" t="str">
        <x:v>Conference Talk / Forum</x:v>
      </x:c>
      <x:c r="K304" s="23" t="n">
        <x:v>222</x:v>
      </x:c>
      <x:c r="L304" s="16" t="str">
        <x:v>https://www.bilibili.com/video/BV13Sg66tEP8</x:v>
      </x:c>
      <x:c r="M304" s="21" t="str">
        <x:v>Bilibili</x:v>
      </x:c>
      <x:c r="N304" s="24" t="n">
        <x:v>160</x:v>
      </x:c>
      <x:c r="O304" s="22" t="str">
        <x:v>C | Community Selection</x:v>
      </x:c>
      <x:c r="P304" s="22" t="str">
        <x:v>Reserve</x:v>
      </x:c>
      <x:c r="Q304" s="22" t="str">
        <x:v>Verified</x:v>
      </x:c>
      <x:c r="R304" s="25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BV13Sg66tEP8</x:v>
      </x:c>
    </x:row>
    <x:row r="305" ht="42" customHeight="1">
      <x:c r="A305" s="21" t="str">
        <x:v>ST-304</x:v>
      </x:c>
      <x:c r="B305" s="21" t="str">
        <x:v>Talk</x:v>
      </x:c>
      <x:c r="C305" s="21" t="str">
        <x:v>Agent</x:v>
      </x:c>
      <x:c r="D305" s="17" t="str">
        <x:v>Agents</x:v>
      </x:c>
      <x:c r="E305" s="17" t="str">
        <x:v>Agents; Multi-Agent Systems</x:v>
      </x:c>
      <x:c r="F305" s="22" t="str">
        <x:v>Chinese</x:v>
      </x:c>
      <x:c r="G305" s="17" t="str">
        <x:v>阿里云·Agentic_Cloud__智能体时代的基础设施论坛</x:v>
      </x:c>
      <x:c r="H305" s="17" t="str">
        <x:v>To be added</x:v>
      </x:c>
      <x:c r="I305" s="17" t="str">
        <x:v>MissGodOne</x:v>
      </x:c>
      <x:c r="J305" s="22" t="str">
        <x:v>Conference Talk / Forum</x:v>
      </x:c>
      <x:c r="K305" s="23" t="n">
        <x:v>146</x:v>
      </x:c>
      <x:c r="L305" s="16" t="str">
        <x:v>https://www.bilibili.com/video/BV1GSgk6KE9m</x:v>
      </x:c>
      <x:c r="M305" s="21" t="str">
        <x:v>Bilibili</x:v>
      </x:c>
      <x:c r="N305" s="24" t="n">
        <x:v>65</x:v>
      </x:c>
      <x:c r="O305" s="22" t="str">
        <x:v>C | Community Selection</x:v>
      </x:c>
      <x:c r="P305" s="22" t="str">
        <x:v>Reserve</x:v>
      </x:c>
      <x:c r="Q305" s="22" t="str">
        <x:v>Verified</x:v>
      </x:c>
      <x:c r="R305" s="25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BV1GSgk6KE9m</x:v>
      </x:c>
    </x:row>
    <x:row r="306" ht="42" customHeight="1">
      <x:c r="A306" s="21" t="str">
        <x:v>ST-305</x:v>
      </x:c>
      <x:c r="B306" s="21" t="str">
        <x:v>Talk</x:v>
      </x:c>
      <x:c r="C306" s="21" t="str">
        <x:v>Vision</x:v>
      </x:c>
      <x:c r="D306" s="17" t="str">
        <x:v>Vision</x:v>
      </x:c>
      <x:c r="E306" s="17" t="str">
        <x:v>Vision</x:v>
      </x:c>
      <x:c r="F306" s="22" t="str">
        <x:v>Chinese</x:v>
      </x:c>
      <x:c r="G306" s="17" t="str">
        <x:v>第五届中国模式识别与计算机视觉大会（PRCV2022）学术海报展示2</x:v>
      </x:c>
      <x:c r="H306" s="17" t="str">
        <x:v>To be added</x:v>
      </x:c>
      <x:c r="I306" s="17" t="str">
        <x:v>人工智能前沿讲习</x:v>
      </x:c>
      <x:c r="J306" s="22" t="str">
        <x:v>Conference Talk / Forum</x:v>
      </x:c>
      <x:c r="K306" s="23" t="n">
        <x:v>190</x:v>
      </x:c>
      <x:c r="L306" s="16" t="str">
        <x:v>https://www.bilibili.com/video/BV1DA411Q7wu</x:v>
      </x:c>
      <x:c r="M306" s="21" t="str">
        <x:v>Bilibili</x:v>
      </x:c>
      <x:c r="N306" s="24" t="n">
        <x:v>5229</x:v>
      </x:c>
      <x:c r="O306" s="22" t="str">
        <x:v>B | University / Conference / Institution</x:v>
      </x:c>
      <x:c r="P306" s="22" t="str">
        <x:v>Recommended</x:v>
      </x:c>
      <x:c r="Q306" s="22" t="str">
        <x:v>Verified</x:v>
      </x:c>
      <x:c r="R306" s="25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BV1DA411Q7wu</x:v>
      </x:c>
    </x:row>
    <x:row r="307" ht="42" customHeight="1">
      <x:c r="A307" s="21" t="str">
        <x:v>ST-306</x:v>
      </x:c>
      <x:c r="B307" s="21" t="str">
        <x:v>Talk</x:v>
      </x:c>
      <x:c r="C307" s="21" t="str">
        <x:v>Vision</x:v>
      </x:c>
      <x:c r="D307" s="17" t="str">
        <x:v>Vision</x:v>
      </x:c>
      <x:c r="E307" s="17" t="str">
        <x:v>Vision</x:v>
      </x:c>
      <x:c r="F307" s="22" t="str">
        <x:v>Chinese</x:v>
      </x:c>
      <x:c r="G307" s="17" t="str">
        <x:v>第五届中国模式识别与计算机视觉大会（PRCV2022）学术海报展示1</x:v>
      </x:c>
      <x:c r="H307" s="17" t="str">
        <x:v>To be added</x:v>
      </x:c>
      <x:c r="I307" s="17" t="str">
        <x:v>人工智能前沿讲习</x:v>
      </x:c>
      <x:c r="J307" s="22" t="str">
        <x:v>Conference Talk / Forum</x:v>
      </x:c>
      <x:c r="K307" s="23" t="n">
        <x:v>233</x:v>
      </x:c>
      <x:c r="L307" s="16" t="str">
        <x:v>https://www.bilibili.com/video/BV1NR4y167k2</x:v>
      </x:c>
      <x:c r="M307" s="21" t="str">
        <x:v>Bilibili</x:v>
      </x:c>
      <x:c r="N307" s="24" t="n">
        <x:v>4673</x:v>
      </x:c>
      <x:c r="O307" s="22" t="str">
        <x:v>B | University / Conference / Institution</x:v>
      </x:c>
      <x:c r="P307" s="22" t="str">
        <x:v>Recommended</x:v>
      </x:c>
      <x:c r="Q307" s="22" t="str">
        <x:v>Verified</x:v>
      </x:c>
      <x:c r="R307" s="25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BV1NR4y167k2</x:v>
      </x:c>
    </x:row>
    <x:row r="308" ht="42" customHeight="1">
      <x:c r="A308" s="21" t="str">
        <x:v>ST-307</x:v>
      </x:c>
      <x:c r="B308" s="21" t="str">
        <x:v>Talk</x:v>
      </x:c>
      <x:c r="C308" s="21" t="str">
        <x:v>Vision</x:v>
      </x:c>
      <x:c r="D308" s="17" t="str">
        <x:v>Vision</x:v>
      </x:c>
      <x:c r="E308" s="17" t="str">
        <x:v>Large Language Models; Foundation Models; Industry Insights; Trustworthy AI; Content Detection; Safety</x:v>
      </x:c>
      <x:c r="F308" s="22" t="str">
        <x:v>Chinese</x:v>
      </x:c>
      <x:c r="G308" s="17" t="str">
        <x:v>【会议回放】2025 CVPR上海论文分享学术报告会</x:v>
      </x:c>
      <x:c r="H308" s="17" t="str">
        <x:v>To be added</x:v>
      </x:c>
      <x:c r="I308" s="17" t="str">
        <x:v>JIG图图</x:v>
      </x:c>
      <x:c r="J308" s="22" t="str">
        <x:v>Academic Talk</x:v>
      </x:c>
      <x:c r="K308" s="23" t="n">
        <x:v>364</x:v>
      </x:c>
      <x:c r="L308" s="16" t="str">
        <x:v>https://www.bilibili.com/video/BV1GZjYz6EsV</x:v>
      </x:c>
      <x:c r="M308" s="21" t="str">
        <x:v>Bilibili</x:v>
      </x:c>
      <x:c r="N308" s="24" t="n">
        <x:v>4254</x:v>
      </x:c>
      <x:c r="O308" s="22" t="str">
        <x:v>B | University / Conference / Institution</x:v>
      </x:c>
      <x:c r="P308" s="22" t="str">
        <x:v>Recommended</x:v>
      </x:c>
      <x:c r="Q308" s="22" t="str">
        <x:v>Verified</x:v>
      </x:c>
      <x:c r="R308" s="25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BV1GZjYz6EsV</x:v>
      </x:c>
    </x:row>
    <x:row r="309" ht="42" customHeight="1">
      <x:c r="A309" s="21" t="str">
        <x:v>ST-308</x:v>
      </x:c>
      <x:c r="B309" s="21" t="str">
        <x:v>Talk</x:v>
      </x:c>
      <x:c r="C309" s="21" t="str">
        <x:v>Vision</x:v>
      </x:c>
      <x:c r="D309" s="17" t="str">
        <x:v>Vision</x:v>
      </x:c>
      <x:c r="E309" s="17" t="str">
        <x:v>Embodied AI; Robotics; World Models</x:v>
      </x:c>
      <x:c r="F309" s="22" t="str">
        <x:v>Chinese</x:v>
      </x:c>
      <x:c r="G309" s="17" t="str">
        <x:v>CVPR2026论文分享会 | 来茶思屋，听论文作者拆解真技术</x:v>
      </x:c>
      <x:c r="H309" s="17" t="str">
        <x:v>To be added</x:v>
      </x:c>
      <x:c r="I309" s="17" t="str">
        <x:v>Chaspark茶思屋</x:v>
      </x:c>
      <x:c r="J309" s="22" t="str">
        <x:v>Academic Talk</x:v>
      </x:c>
      <x:c r="K309" s="23" t="n">
        <x:v>321</x:v>
      </x:c>
      <x:c r="L309" s="16" t="str">
        <x:v>https://www.bilibili.com/video/BV17PEF6LEyD</x:v>
      </x:c>
      <x:c r="M309" s="21" t="str">
        <x:v>Bilibili</x:v>
      </x:c>
      <x:c r="N309" s="24" t="n">
        <x:v>3631</x:v>
      </x:c>
      <x:c r="O309" s="22" t="str">
        <x:v>C | Community Selection</x:v>
      </x:c>
      <x:c r="P309" s="22" t="str">
        <x:v>Reserve</x:v>
      </x:c>
      <x:c r="Q309" s="22" t="str">
        <x:v>Verified</x:v>
      </x:c>
      <x:c r="R309" s="25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BV17PEF6LEyD</x:v>
      </x:c>
    </x:row>
    <x:row r="310" ht="42" customHeight="1">
      <x:c r="A310" s="21" t="str">
        <x:v>ST-309</x:v>
      </x:c>
      <x:c r="B310" s="21" t="str">
        <x:v>Talk</x:v>
      </x:c>
      <x:c r="C310" s="21" t="str">
        <x:v>Vision</x:v>
      </x:c>
      <x:c r="D310" s="17" t="str">
        <x:v>Vision</x:v>
      </x:c>
      <x:c r="E310" s="17" t="str">
        <x:v>Vision</x:v>
      </x:c>
      <x:c r="F310" s="22" t="str">
        <x:v>Chinese</x:v>
      </x:c>
      <x:c r="G310" s="17" t="str">
        <x:v>主旨报告 | 第四届中国模式识别与计算机视觉大会（PRCV 2021）</x:v>
      </x:c>
      <x:c r="H310" s="17" t="str">
        <x:v>To be added</x:v>
      </x:c>
      <x:c r="I310" s="17" t="str">
        <x:v>人工智能前沿讲习</x:v>
      </x:c>
      <x:c r="J310" s="22" t="str">
        <x:v>Conference Talk / Forum</x:v>
      </x:c>
      <x:c r="K310" s="23" t="n">
        <x:v>254</x:v>
      </x:c>
      <x:c r="L310" s="16" t="str">
        <x:v>https://www.bilibili.com/video/BV1fa411b7wd</x:v>
      </x:c>
      <x:c r="M310" s="21" t="str">
        <x:v>Bilibili</x:v>
      </x:c>
      <x:c r="N310" s="24" t="n">
        <x:v>3120</x:v>
      </x:c>
      <x:c r="O310" s="22" t="str">
        <x:v>C | Community Selection</x:v>
      </x:c>
      <x:c r="P310" s="22" t="str">
        <x:v>Reserve</x:v>
      </x:c>
      <x:c r="Q310" s="22" t="str">
        <x:v>Verified</x:v>
      </x:c>
      <x:c r="R310" s="25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BV1fa411b7wd</x:v>
      </x:c>
    </x:row>
    <x:row r="311" ht="42" customHeight="1">
      <x:c r="A311" s="21" t="str">
        <x:v>ST-310</x:v>
      </x:c>
      <x:c r="B311" s="21" t="str">
        <x:v>Talk</x:v>
      </x:c>
      <x:c r="C311" s="21" t="str">
        <x:v>Vision</x:v>
      </x:c>
      <x:c r="D311" s="17" t="str">
        <x:v>Vision</x:v>
      </x:c>
      <x:c r="E311" s="17" t="str">
        <x:v>Large Language Models; Foundation Models; Industry Insights; Deep Learning; Neural Networks; Model Training</x:v>
      </x:c>
      <x:c r="F311" s="22" t="str">
        <x:v>Chinese</x:v>
      </x:c>
      <x:c r="G311" s="17" t="str">
        <x:v>20250910【大模型时代下的新型神经网络模型】程明明：从个性化生成到视觉统一模型</x:v>
      </x:c>
      <x:c r="H311" s="17" t="str">
        <x:v>大模型时代下的新型神经网络模型</x:v>
      </x:c>
      <x:c r="I311" s="17" t="str">
        <x:v>VALSE_Webinar</x:v>
      </x:c>
      <x:c r="J311" s="22" t="str">
        <x:v>Academic Talk</x:v>
      </x:c>
      <x:c r="K311" s="23" t="n">
        <x:v>36</x:v>
      </x:c>
      <x:c r="L311" s="16" t="str">
        <x:v>https://www.bilibili.com/video/BV1WqHezrEmr</x:v>
      </x:c>
      <x:c r="M311" s="21" t="str">
        <x:v>Bilibili</x:v>
      </x:c>
      <x:c r="N311" s="24" t="n">
        <x:v>2590</x:v>
      </x:c>
      <x:c r="O311" s="22" t="str">
        <x:v>A | Official / Original Creator / Organizer</x:v>
      </x:c>
      <x:c r="P311" s="22" t="str">
        <x:v>Core</x:v>
      </x:c>
      <x:c r="Q311" s="22" t="str">
        <x:v>Verified</x:v>
      </x:c>
      <x:c r="R311" s="25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BV1WqHezrEmr</x:v>
      </x:c>
    </x:row>
    <x:row r="312" ht="42" customHeight="1">
      <x:c r="A312" s="21" t="str">
        <x:v>ST-311</x:v>
      </x:c>
      <x:c r="B312" s="21" t="str">
        <x:v>Talk</x:v>
      </x:c>
      <x:c r="C312" s="21" t="str">
        <x:v>Vision</x:v>
      </x:c>
      <x:c r="D312" s="17" t="str">
        <x:v>Vision</x:v>
      </x:c>
      <x:c r="E312" s="17" t="str">
        <x:v>Large Language Models; Foundation Models; Industry Insights; Deep Learning; Neural Networks; Model Training</x:v>
      </x:c>
      <x:c r="F312" s="22" t="str">
        <x:v>Chinese</x:v>
      </x:c>
      <x:c r="G312" s="17" t="str">
        <x:v>20251210【高效视觉感知与理解】王语霖：受人类视觉系统启发的动态机器视觉模型</x:v>
      </x:c>
      <x:c r="H312" s="17" t="str">
        <x:v>高效视觉感知与理解</x:v>
      </x:c>
      <x:c r="I312" s="17" t="str">
        <x:v>VALSE_Webinar</x:v>
      </x:c>
      <x:c r="J312" s="22" t="str">
        <x:v>Academic Talk</x:v>
      </x:c>
      <x:c r="K312" s="23" t="n">
        <x:v>45</x:v>
      </x:c>
      <x:c r="L312" s="16" t="str">
        <x:v>https://www.bilibili.com/video/BV1tvqZBNEnV</x:v>
      </x:c>
      <x:c r="M312" s="21" t="str">
        <x:v>Bilibili</x:v>
      </x:c>
      <x:c r="N312" s="24" t="n">
        <x:v>2131</x:v>
      </x:c>
      <x:c r="O312" s="22" t="str">
        <x:v>A | Official / Original Creator / Organizer</x:v>
      </x:c>
      <x:c r="P312" s="22" t="str">
        <x:v>Core</x:v>
      </x:c>
      <x:c r="Q312" s="22" t="str">
        <x:v>Verified</x:v>
      </x:c>
      <x:c r="R312" s="25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BV1tvqZBNEnV</x:v>
      </x:c>
    </x:row>
    <x:row r="313" ht="42" customHeight="1">
      <x:c r="A313" s="21" t="str">
        <x:v>ST-312</x:v>
      </x:c>
      <x:c r="B313" s="21" t="str">
        <x:v>Talk</x:v>
      </x:c>
      <x:c r="C313" s="21" t="str">
        <x:v>Vision</x:v>
      </x:c>
      <x:c r="D313" s="17" t="str">
        <x:v>Vision</x:v>
      </x:c>
      <x:c r="E313" s="17" t="str">
        <x:v>AI for Science; Trustworthy AI; Content Detection; Safety</x:v>
      </x:c>
      <x:c r="F313" s="22" t="str">
        <x:v>Chinese</x:v>
      </x:c>
      <x:c r="G313" s="17" t="str">
        <x:v>20230721 VALSE Student Webinar【开放视觉感知】刘世隆：From Detection to Grounding: A Path……</x:v>
      </x:c>
      <x:c r="H313" s="17" t="str">
        <x:v>开放视觉感知</x:v>
      </x:c>
      <x:c r="I313" s="17" t="str">
        <x:v>VALSE_Webinar</x:v>
      </x:c>
      <x:c r="J313" s="22" t="str">
        <x:v>Academic Talk</x:v>
      </x:c>
      <x:c r="K313" s="23" t="n">
        <x:v>21</x:v>
      </x:c>
      <x:c r="L313" s="16" t="str">
        <x:v>https://www.bilibili.com/video/BV1T8411z7rp</x:v>
      </x:c>
      <x:c r="M313" s="21" t="str">
        <x:v>Bilibili</x:v>
      </x:c>
      <x:c r="N313" s="24" t="n">
        <x:v>1621</x:v>
      </x:c>
      <x:c r="O313" s="22" t="str">
        <x:v>A | Official / Original Creator / Organizer</x:v>
      </x:c>
      <x:c r="P313" s="22" t="str">
        <x:v>Core</x:v>
      </x:c>
      <x:c r="Q313" s="22" t="str">
        <x:v>Verified</x:v>
      </x:c>
      <x:c r="R313" s="25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BV1T8411z7rp</x:v>
      </x:c>
    </x:row>
    <x:row r="314" ht="42" customHeight="1">
      <x:c r="A314" s="21" t="str">
        <x:v>ST-313</x:v>
      </x:c>
      <x:c r="B314" s="21" t="str">
        <x:v>Talk</x:v>
      </x:c>
      <x:c r="C314" s="21" t="str">
        <x:v>Robotics</x:v>
      </x:c>
      <x:c r="D314" s="17" t="str">
        <x:v>Robotics</x:v>
      </x:c>
      <x:c r="E314" s="17" t="str">
        <x:v>Embodied AI; Robotics; World Models; Agents; Multi-Agent Systems</x:v>
      </x:c>
      <x:c r="F314" s="22" t="str">
        <x:v>Chinese</x:v>
      </x:c>
      <x:c r="G314" s="17" t="str">
        <x:v>2026北京智源大会丨具身智能与人形机器人</x:v>
      </x:c>
      <x:c r="H314" s="17" t="str">
        <x:v>To be added</x:v>
      </x:c>
      <x:c r="I314" s="17" t="str">
        <x:v>智源社区</x:v>
      </x:c>
      <x:c r="J314" s="22" t="str">
        <x:v>Conference Talk / Forum</x:v>
      </x:c>
      <x:c r="K314" s="23" t="n">
        <x:v>406</x:v>
      </x:c>
      <x:c r="L314" s="16" t="str">
        <x:v>https://www.bilibili.com/video/BV1onjq63EJ9</x:v>
      </x:c>
      <x:c r="M314" s="21" t="str">
        <x:v>Bilibili</x:v>
      </x:c>
      <x:c r="N314" s="24" t="n">
        <x:v>4753</x:v>
      </x:c>
      <x:c r="O314" s="22" t="str">
        <x:v>A | Official / Original Creator / Organizer</x:v>
      </x:c>
      <x:c r="P314" s="22" t="str">
        <x:v>Core</x:v>
      </x:c>
      <x:c r="Q314" s="22" t="str">
        <x:v>Verified</x:v>
      </x:c>
      <x:c r="R314" s="25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BV1onjq63EJ9</x:v>
      </x:c>
    </x:row>
    <x:row r="315" ht="42" customHeight="1">
      <x:c r="A315" s="21" t="str">
        <x:v>ST-314</x:v>
      </x:c>
      <x:c r="B315" s="21" t="str">
        <x:v>Talk</x:v>
      </x:c>
      <x:c r="C315" s="21" t="str">
        <x:v>Robotics</x:v>
      </x:c>
      <x:c r="D315" s="17" t="str">
        <x:v>Robotics</x:v>
      </x:c>
      <x:c r="E315" s="17" t="str">
        <x:v>Embodied AI; Robotics; World Models</x:v>
      </x:c>
      <x:c r="F315" s="22" t="str">
        <x:v>Chinese</x:v>
      </x:c>
      <x:c r="G315" s="17" t="str">
        <x:v>2025世界机器人大会</x:v>
      </x:c>
      <x:c r="H315" s="17" t="str">
        <x:v>To be added</x:v>
      </x:c>
      <x:c r="I315" s="17" t="str">
        <x:v>财安君</x:v>
      </x:c>
      <x:c r="J315" s="22" t="str">
        <x:v>Conference Talk / Forum</x:v>
      </x:c>
      <x:c r="K315" s="23" t="n">
        <x:v>1290</x:v>
      </x:c>
      <x:c r="L315" s="16" t="str">
        <x:v>https://www.bilibili.com/video/BV1PCbKzJEWk</x:v>
      </x:c>
      <x:c r="M315" s="21" t="str">
        <x:v>Bilibili</x:v>
      </x:c>
      <x:c r="N315" s="24" t="n">
        <x:v>8704</x:v>
      </x:c>
      <x:c r="O315" s="22" t="str">
        <x:v>C | Community Selection</x:v>
      </x:c>
      <x:c r="P315" s="22" t="str">
        <x:v>Reserve</x:v>
      </x:c>
      <x:c r="Q315" s="22" t="str">
        <x:v>Verified</x:v>
      </x:c>
      <x:c r="R315" s="25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BV1PCbKzJEWk</x:v>
      </x:c>
    </x:row>
    <x:row r="316" ht="42" customHeight="1">
      <x:c r="A316" s="21" t="str">
        <x:v>ST-315</x:v>
      </x:c>
      <x:c r="B316" s="21" t="str">
        <x:v>Talk</x:v>
      </x:c>
      <x:c r="C316" s="21" t="str">
        <x:v>Robotics</x:v>
      </x:c>
      <x:c r="D316" s="17" t="str">
        <x:v>Robotics</x:v>
      </x:c>
      <x:c r="E316" s="17" t="str">
        <x:v>Embodied AI; Robotics; World Models</x:v>
      </x:c>
      <x:c r="F316" s="22" t="str">
        <x:v>Chinese</x:v>
      </x:c>
      <x:c r="G316" s="17" t="str">
        <x:v>【直播回放】WAIC2026 迎接物理AI智能涌现，论坛全程回顾上线！</x:v>
      </x:c>
      <x:c r="H316" s="17" t="str">
        <x:v>To be added</x:v>
      </x:c>
      <x:c r="I316" s="17" t="str">
        <x:v>觅蜂科技</x:v>
      </x:c>
      <x:c r="J316" s="22" t="str">
        <x:v>Conference Talk / Forum</x:v>
      </x:c>
      <x:c r="K316" s="23" t="n">
        <x:v>179</x:v>
      </x:c>
      <x:c r="L316" s="16" t="str">
        <x:v>https://www.bilibili.com/video/BV1iVK26rECY</x:v>
      </x:c>
      <x:c r="M316" s="21" t="str">
        <x:v>Bilibili</x:v>
      </x:c>
      <x:c r="N316" s="24" t="n">
        <x:v>4732</x:v>
      </x:c>
      <x:c r="O316" s="22" t="str">
        <x:v>B | University / Conference / Institution</x:v>
      </x:c>
      <x:c r="P316" s="22" t="str">
        <x:v>Recommended</x:v>
      </x:c>
      <x:c r="Q316" s="22" t="str">
        <x:v>Verified</x:v>
      </x:c>
      <x:c r="R316" s="25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BV1iVK26rECY</x:v>
      </x:c>
    </x:row>
    <x:row r="317" ht="42" customHeight="1">
      <x:c r="A317" s="21" t="str">
        <x:v>ST-316</x:v>
      </x:c>
      <x:c r="B317" s="21" t="str">
        <x:v>Talk</x:v>
      </x:c>
      <x:c r="C317" s="21" t="str">
        <x:v>Robotics</x:v>
      </x:c>
      <x:c r="D317" s="17" t="str">
        <x:v>Robotics</x:v>
      </x:c>
      <x:c r="E317" s="17" t="str">
        <x:v>Embodied AI; Robotics; World Models; Large Language Models; Foundation Models; Industry Insights</x:v>
      </x:c>
      <x:c r="F317" s="22" t="str">
        <x:v>Chinese</x:v>
      </x:c>
      <x:c r="G317" s="17" t="str">
        <x:v>《第二界具身智能大会：政策解读&amp;具身智能15大重点方向发布&amp;具身智能白皮书发布会》</x:v>
      </x:c>
      <x:c r="H317" s="17" t="str">
        <x:v>To be added</x:v>
      </x:c>
      <x:c r="I317" s="17" t="str">
        <x:v>猫一碗cupcake</x:v>
      </x:c>
      <x:c r="J317" s="22" t="str">
        <x:v>Conference Talk / Forum</x:v>
      </x:c>
      <x:c r="K317" s="23" t="n">
        <x:v>45</x:v>
      </x:c>
      <x:c r="L317" s="16" t="str">
        <x:v>https://www.bilibili.com/video/BV1XLZ8Y4EoJ</x:v>
      </x:c>
      <x:c r="M317" s="21" t="str">
        <x:v>Bilibili</x:v>
      </x:c>
      <x:c r="N317" s="24" t="n">
        <x:v>1865</x:v>
      </x:c>
      <x:c r="O317" s="22" t="str">
        <x:v>C | Community Selection</x:v>
      </x:c>
      <x:c r="P317" s="22" t="str">
        <x:v>Reserve</x:v>
      </x:c>
      <x:c r="Q317" s="22" t="str">
        <x:v>Verified</x:v>
      </x:c>
      <x:c r="R317" s="25" t="n">
        <x:v>46244</x:v>
      </x:c>
      <x:c r="S317" s="17" t="str">
        <x:v>Discovered through public Bilibili search; title, creator, and accessibility verified through the official video endpoint.</x:v>
      </x:c>
      <x:c r="T317" s="16" t="str">
        <x:v>BV1XLZ8Y4EoJ</x:v>
      </x:c>
    </x:row>
    <x:row r="318" ht="42" customHeight="1">
      <x:c r="A318" s="21" t="str">
        <x:v>ST-317</x:v>
      </x:c>
      <x:c r="B318" s="21" t="str">
        <x:v>Talk</x:v>
      </x:c>
      <x:c r="C318" s="21" t="str">
        <x:v>Robotics</x:v>
      </x:c>
      <x:c r="D318" s="17" t="str">
        <x:v>Robotics</x:v>
      </x:c>
      <x:c r="E318" s="17" t="str">
        <x:v>Embodied AI; Robotics; World Models</x:v>
      </x:c>
      <x:c r="F318" s="22" t="str">
        <x:v>Chinese</x:v>
      </x:c>
      <x:c r="G318" s="17" t="str">
        <x:v>【第四届中国机器人学术年会】交流&amp;讨论 谷国迎 刘英想 丁亮 高飞 谢福贵 顶刊论坛</x:v>
      </x:c>
      <x:c r="H318" s="17" t="str">
        <x:v>第四届中国机器人学术年会</x:v>
      </x:c>
      <x:c r="I318" s="17" t="str">
        <x:v>學不董Gavin</x:v>
      </x:c>
      <x:c r="J318" s="22" t="str">
        <x:v>Conference Talk / Forum</x:v>
      </x:c>
      <x:c r="K318" s="23" t="n">
        <x:v>60</x:v>
      </x:c>
      <x:c r="L318" s="16" t="str">
        <x:v>https://www.bilibili.com/video/BV18N411U74U</x:v>
      </x:c>
      <x:c r="M318" s="21" t="str">
        <x:v>Bilibili</x:v>
      </x:c>
      <x:c r="N318" s="24" t="n">
        <x:v>1204</x:v>
      </x:c>
      <x:c r="O318" s="22" t="str">
        <x:v>B | University / Conference / Institution</x:v>
      </x:c>
      <x:c r="P318" s="22" t="str">
        <x:v>Recommended</x:v>
      </x:c>
      <x:c r="Q318" s="22" t="str">
        <x:v>Verified</x:v>
      </x:c>
      <x:c r="R318" s="25" t="n">
        <x:v>46244</x:v>
      </x:c>
      <x:c r="S318" s="17" t="str">
        <x:v>Discovered through public Bilibili search; title, creator, and accessibility verified through the official video endpoint.</x:v>
      </x:c>
      <x:c r="T318" s="16" t="str">
        <x:v>BV18N411U74U</x:v>
      </x:c>
    </x:row>
    <x:row r="319" ht="42" customHeight="1">
      <x:c r="A319" s="21" t="str">
        <x:v>ST-318</x:v>
      </x:c>
      <x:c r="B319" s="21" t="str">
        <x:v>Talk</x:v>
      </x:c>
      <x:c r="C319" s="21" t="str">
        <x:v>Robotics</x:v>
      </x:c>
      <x:c r="D319" s="17" t="str">
        <x:v>Robotics</x:v>
      </x:c>
      <x:c r="E319" s="17" t="str">
        <x:v>Embodied AI; Robotics; World Models</x:v>
      </x:c>
      <x:c r="F319" s="22" t="str">
        <x:v>Chinese</x:v>
      </x:c>
      <x:c r="G319" s="17" t="str">
        <x:v>【青稞Talk 144期】从 端到端 VLA 到 Harness VLA：面向具身智能与机器人操作任务的记忆增强式执行框架</x:v>
      </x:c>
      <x:c r="H319" s="17" t="str">
        <x:v>青稞Talk 144期</x:v>
      </x:c>
      <x:c r="I319" s="17" t="str">
        <x:v>青稞社区</x:v>
      </x:c>
      <x:c r="J319" s="22" t="str">
        <x:v>Academic Talk</x:v>
      </x:c>
      <x:c r="K319" s="23" t="n">
        <x:v>78</x:v>
      </x:c>
      <x:c r="L319" s="16" t="str">
        <x:v>https://www.bilibili.com/video/BV1HNu26ZEbe</x:v>
      </x:c>
      <x:c r="M319" s="21" t="str">
        <x:v>Bilibili</x:v>
      </x:c>
      <x:c r="N319" s="24" t="n">
        <x:v>534</x:v>
      </x:c>
      <x:c r="O319" s="22" t="str">
        <x:v>C | Community Selection</x:v>
      </x:c>
      <x:c r="P319" s="22" t="str">
        <x:v>Reserve</x:v>
      </x:c>
      <x:c r="Q319" s="22" t="str">
        <x:v>Verified</x:v>
      </x:c>
      <x:c r="R319" s="25" t="n">
        <x:v>46244</x:v>
      </x:c>
      <x:c r="S319" s="17" t="str">
        <x:v>Discovered through public Bilibili search; title, creator, and accessibility verified through the official video endpoint.</x:v>
      </x:c>
      <x:c r="T319" s="16" t="str">
        <x:v>BV1HNu26ZEbe</x:v>
      </x:c>
    </x:row>
    <x:row r="320" ht="42" customHeight="1">
      <x:c r="A320" s="21" t="str">
        <x:v>ST-319</x:v>
      </x:c>
      <x:c r="B320" s="21" t="str">
        <x:v>Talk</x:v>
      </x:c>
      <x:c r="C320" s="21" t="str">
        <x:v>Robotics</x:v>
      </x:c>
      <x:c r="D320" s="17" t="str">
        <x:v>Robotics</x:v>
      </x:c>
      <x:c r="E320" s="17" t="str">
        <x:v>Embodied AI; Robotics; World Models</x:v>
      </x:c>
      <x:c r="F320" s="22" t="str">
        <x:v>Chinese</x:v>
      </x:c>
      <x:c r="G320" s="17" t="str">
        <x:v>北京航空航天大学牛建伟教授：学术报告 | 具身智能机器人操作系统思考与实践</x:v>
      </x:c>
      <x:c r="H320" s="17" t="str">
        <x:v>To be added</x:v>
      </x:c>
      <x:c r="I320" s="17" t="str">
        <x:v>MDPI开放科学</x:v>
      </x:c>
      <x:c r="J320" s="22" t="str">
        <x:v>Academic Talk</x:v>
      </x:c>
      <x:c r="K320" s="23" t="n">
        <x:v>43</x:v>
      </x:c>
      <x:c r="L320" s="16" t="str">
        <x:v>https://www.bilibili.com/video/BV11S7Bz5E2c</x:v>
      </x:c>
      <x:c r="M320" s="21" t="str">
        <x:v>Bilibili</x:v>
      </x:c>
      <x:c r="N320" s="24" t="n">
        <x:v>428</x:v>
      </x:c>
      <x:c r="O320" s="22" t="str">
        <x:v>A | Official / Original Creator / Organizer</x:v>
      </x:c>
      <x:c r="P320" s="22" t="str">
        <x:v>Core</x:v>
      </x:c>
      <x:c r="Q320" s="22" t="str">
        <x:v>Verified</x:v>
      </x:c>
      <x:c r="R320" s="25" t="n">
        <x:v>46244</x:v>
      </x:c>
      <x:c r="S320" s="17" t="str">
        <x:v>Discovered through public Bilibili search; title, creator, and accessibility verified through the official video endpoint.</x:v>
      </x:c>
      <x:c r="T320" s="16" t="str">
        <x:v>BV11S7Bz5E2c</x:v>
      </x:c>
    </x:row>
    <x:row r="321" ht="42" customHeight="1">
      <x:c r="A321" s="21" t="str">
        <x:v>ST-320</x:v>
      </x:c>
      <x:c r="B321" s="21" t="str">
        <x:v>Talk</x:v>
      </x:c>
      <x:c r="C321" s="21" t="str">
        <x:v>Robotics</x:v>
      </x:c>
      <x:c r="D321" s="17" t="str">
        <x:v>Robotics</x:v>
      </x:c>
      <x:c r="E321" s="17" t="str">
        <x:v>Embodied AI; Robotics; World Models</x:v>
      </x:c>
      <x:c r="F321" s="22" t="str">
        <x:v>Chinese</x:v>
      </x:c>
      <x:c r="G321" s="17" t="str">
        <x:v>【青稞Talk 143期】新一代具身智能数据范式ACE-Data-0：以人为中心的环境式采集构建具身数据引擎</x:v>
      </x:c>
      <x:c r="H321" s="17" t="str">
        <x:v>青稞Talk 143期</x:v>
      </x:c>
      <x:c r="I321" s="17" t="str">
        <x:v>青稞社区</x:v>
      </x:c>
      <x:c r="J321" s="22" t="str">
        <x:v>Academic Talk</x:v>
      </x:c>
      <x:c r="K321" s="23" t="n">
        <x:v>82</x:v>
      </x:c>
      <x:c r="L321" s="16" t="str">
        <x:v>https://www.bilibili.com/video/BV1MEu46EEH5</x:v>
      </x:c>
      <x:c r="M321" s="21" t="str">
        <x:v>Bilibili</x:v>
      </x:c>
      <x:c r="N321" s="24" t="n">
        <x:v>389</x:v>
      </x:c>
      <x:c r="O321" s="22" t="str">
        <x:v>C | Community Selection</x:v>
      </x:c>
      <x:c r="P321" s="22" t="str">
        <x:v>Reserve</x:v>
      </x:c>
      <x:c r="Q321" s="22" t="str">
        <x:v>Verified</x:v>
      </x:c>
      <x:c r="R321" s="25" t="n">
        <x:v>46244</x:v>
      </x:c>
      <x:c r="S321" s="17" t="str">
        <x:v>Discovered through public Bilibili search; title, creator, and accessibility verified through the official video endpoint.</x:v>
      </x:c>
      <x:c r="T321" s="16" t="str">
        <x:v>BV1MEu46EEH5</x:v>
      </x:c>
    </x:row>
    <x:row r="322" ht="42" customHeight="1">
      <x:c r="A322" s="21" t="str">
        <x:v>ST-321</x:v>
      </x:c>
      <x:c r="B322" s="21" t="str">
        <x:v>Interview</x:v>
      </x:c>
      <x:c r="C322" s="21" t="str">
        <x:v>Agent</x:v>
      </x:c>
      <x:c r="D322" s="17" t="str">
        <x:v>Agents</x:v>
      </x:c>
      <x:c r="E322" s="17" t="str">
        <x:v>Agents; Multi-Agent Systems</x:v>
      </x:c>
      <x:c r="F322" s="22" t="str">
        <x:v>English</x:v>
      </x:c>
      <x:c r="G322" s="17" t="str">
        <x:v>OpenClaw: The Viral AI Agent that Broke the Internet - Peter Steinberger | Lex Fridman Podcast #491</x:v>
      </x:c>
      <x:c r="H322" s="17" t="str">
        <x:v>To be added</x:v>
      </x:c>
      <x:c r="I322" s="17" t="str">
        <x:v>Lex Fridman</x:v>
      </x:c>
      <x:c r="J322" s="22" t="str">
        <x:v>Profile Interview</x:v>
      </x:c>
      <x:c r="K322" s="23" t="n">
        <x:v>196</x:v>
      </x:c>
      <x:c r="L322" s="16" t="str">
        <x:v>https://www.youtube.com/watch?v=YFjfBk8HI5o</x:v>
      </x:c>
      <x:c r="M322" s="21" t="str">
        <x:v>YouTube</x:v>
      </x:c>
      <x:c r="N322" s="24" t="n">
        <x:v>1320814</x:v>
      </x:c>
      <x:c r="O322" s="22" t="str">
        <x:v>A | Official / Original Creator / Organizer</x:v>
      </x:c>
      <x:c r="P322" s="22" t="str">
        <x:v>Core</x:v>
      </x:c>
      <x:c r="Q322" s="22" t="str">
        <x:v>Verified</x:v>
      </x:c>
      <x:c r="R322" s="25" t="n">
        <x:v>46244</x:v>
      </x:c>
      <x:c r="S322" s="17" t="str">
        <x:v>Targeted addition for the four priority areas; public YouTube result verified as accessible.</x:v>
      </x:c>
      <x:c r="T322" s="16" t="str">
        <x:v>YFjfBk8HI5o</x:v>
      </x:c>
    </x:row>
    <x:row r="323" ht="42" customHeight="1">
      <x:c r="A323" s="21" t="str">
        <x:v>ST-322</x:v>
      </x:c>
      <x:c r="B323" s="21" t="str">
        <x:v>Interview</x:v>
      </x:c>
      <x:c r="C323" s="21" t="str">
        <x:v>Agent</x:v>
      </x:c>
      <x:c r="D323" s="17" t="str">
        <x:v>Agents</x:v>
      </x:c>
      <x:c r="E323" s="17" t="str">
        <x:v>Agents; Multi-Agent Systems; Large Language Models; Foundation Models; Industry Insights</x:v>
      </x:c>
      <x:c r="F323" s="22" t="str">
        <x:v>English</x:v>
      </x:c>
      <x:c r="G323" s="17" t="str">
        <x:v>State of AI in 2026: LLMs, Coding, Scaling Laws, China, Agents, GPUs, AGI | Lex Fridman Podcast #490</x:v>
      </x:c>
      <x:c r="H323" s="17" t="str">
        <x:v>To be added</x:v>
      </x:c>
      <x:c r="I323" s="17" t="str">
        <x:v>Lex Fridman</x:v>
      </x:c>
      <x:c r="J323" s="22" t="str">
        <x:v>Profile Interview</x:v>
      </x:c>
      <x:c r="K323" s="23" t="n">
        <x:v>265</x:v>
      </x:c>
      <x:c r="L323" s="16" t="str">
        <x:v>https://www.youtube.com/watch?v=EV7WhVT270Q</x:v>
      </x:c>
      <x:c r="M323" s="21" t="str">
        <x:v>YouTube</x:v>
      </x:c>
      <x:c r="N323" s="24" t="n">
        <x:v>904182</x:v>
      </x:c>
      <x:c r="O323" s="22" t="str">
        <x:v>A | Official / Original Creator / Organizer</x:v>
      </x:c>
      <x:c r="P323" s="22" t="str">
        <x:v>Core</x:v>
      </x:c>
      <x:c r="Q323" s="22" t="str">
        <x:v>Verified</x:v>
      </x:c>
      <x:c r="R323" s="25" t="n">
        <x:v>46244</x:v>
      </x:c>
      <x:c r="S323" s="17" t="str">
        <x:v>Targeted addition for the four priority areas; public YouTube result verified as accessible.</x:v>
      </x:c>
      <x:c r="T323" s="16" t="str">
        <x:v>EV7WhVT270Q</x:v>
      </x:c>
    </x:row>
    <x:row r="324" ht="42" customHeight="1">
      <x:c r="A324" s="21" t="str">
        <x:v>ST-323</x:v>
      </x:c>
      <x:c r="B324" s="21" t="str">
        <x:v>Interview</x:v>
      </x:c>
      <x:c r="C324" s="21" t="str">
        <x:v>Agent</x:v>
      </x:c>
      <x:c r="D324" s="17" t="str">
        <x:v>Agents</x:v>
      </x:c>
      <x:c r="E324" s="17" t="str">
        <x:v>Agents; Multi-Agent Systems</x:v>
      </x:c>
      <x:c r="F324" s="22" t="str">
        <x:v>English</x:v>
      </x:c>
      <x:c r="G324" s="17" t="str">
        <x:v>How Agentic AI Is Rewriting Modern Marketing | Ravi Shankar | Ctrl Alt Podcast</x:v>
      </x:c>
      <x:c r="H324" s="17" t="str">
        <x:v>To be added</x:v>
      </x:c>
      <x:c r="I324" s="17" t="str">
        <x:v>Ctrl Alt Podcast With Vida Patil</x:v>
      </x:c>
      <x:c r="J324" s="22" t="str">
        <x:v>Profile Interview</x:v>
      </x:c>
      <x:c r="K324" s="23" t="n">
        <x:v>47</x:v>
      </x:c>
      <x:c r="L324" s="16" t="str">
        <x:v>https://www.youtube.com/watch?v=JdkCeiNF4d4</x:v>
      </x:c>
      <x:c r="M324" s="21" t="str">
        <x:v>YouTube</x:v>
      </x:c>
      <x:c r="N324" s="24" t="n">
        <x:v>3236</x:v>
      </x:c>
      <x:c r="O324" s="22" t="str">
        <x:v>C | Community Selection</x:v>
      </x:c>
      <x:c r="P324" s="22" t="str">
        <x:v>Reserve</x:v>
      </x:c>
      <x:c r="Q324" s="22" t="str">
        <x:v>Verified</x:v>
      </x:c>
      <x:c r="R324" s="25" t="n">
        <x:v>46244</x:v>
      </x:c>
      <x:c r="S324" s="17" t="str">
        <x:v>Targeted addition for the four priority areas; public YouTube result verified as accessible.</x:v>
      </x:c>
      <x:c r="T324" s="16" t="str">
        <x:v>JdkCeiNF4d4</x:v>
      </x:c>
    </x:row>
    <x:row r="325" ht="42" customHeight="1">
      <x:c r="A325" s="21" t="str">
        <x:v>ST-324</x:v>
      </x:c>
      <x:c r="B325" s="21" t="str">
        <x:v>Interview</x:v>
      </x:c>
      <x:c r="C325" s="21" t="str">
        <x:v>Agent</x:v>
      </x:c>
      <x:c r="D325" s="17" t="str">
        <x:v>Agents</x:v>
      </x:c>
      <x:c r="E325" s="17" t="str">
        <x:v>Agents; Multi-Agent Systems</x:v>
      </x:c>
      <x:c r="F325" s="22" t="str">
        <x:v>English</x:v>
      </x:c>
      <x:c r="G325" s="17" t="str">
        <x:v>Fireside Chat on AI Agents — Michele Catasta &amp; Shunyu Yao</x:v>
      </x:c>
      <x:c r="H325" s="17" t="str">
        <x:v>To be added</x:v>
      </x:c>
      <x:c r="I325" s="17" t="str">
        <x:v>The Curve</x:v>
      </x:c>
      <x:c r="J325" s="22" t="str">
        <x:v>Profile Interview</x:v>
      </x:c>
      <x:c r="K325" s="23" t="n">
        <x:v>52</x:v>
      </x:c>
      <x:c r="L325" s="16" t="str">
        <x:v>https://www.youtube.com/watch?v=RnA5AkTW4p4</x:v>
      </x:c>
      <x:c r="M325" s="21" t="str">
        <x:v>YouTube</x:v>
      </x:c>
      <x:c r="N325" s="24" t="n">
        <x:v>821</x:v>
      </x:c>
      <x:c r="O325" s="22" t="str">
        <x:v>C | Community Selection</x:v>
      </x:c>
      <x:c r="P325" s="22" t="str">
        <x:v>Reserve</x:v>
      </x:c>
      <x:c r="Q325" s="22" t="str">
        <x:v>Verified</x:v>
      </x:c>
      <x:c r="R325" s="25" t="n">
        <x:v>46244</x:v>
      </x:c>
      <x:c r="S325" s="17" t="str">
        <x:v>Targeted addition for the four priority areas; public YouTube result verified as accessible.</x:v>
      </x:c>
      <x:c r="T325" s="16" t="str">
        <x:v>RnA5AkTW4p4</x:v>
      </x:c>
    </x:row>
    <x:row r="326" ht="42" customHeight="1">
      <x:c r="A326" s="21" t="str">
        <x:v>ST-325</x:v>
      </x:c>
      <x:c r="B326" s="21" t="str">
        <x:v>Interview</x:v>
      </x:c>
      <x:c r="C326" s="21" t="str">
        <x:v>Vision</x:v>
      </x:c>
      <x:c r="D326" s="17" t="str">
        <x:v>Vision</x:v>
      </x:c>
      <x:c r="E326" s="17" t="str">
        <x:v>AI for Science; Reinforcement Learning; Policy Optimization</x:v>
      </x:c>
      <x:c r="F326" s="22" t="str">
        <x:v>English</x:v>
      </x:c>
      <x:c r="G326" s="17" t="str">
        <x:v>Ishan Misra: Self-Supervised Deep Learning in Computer Vision | Lex Fridman Podcast #206</x:v>
      </x:c>
      <x:c r="H326" s="17" t="str">
        <x:v>To be added</x:v>
      </x:c>
      <x:c r="I326" s="17" t="str">
        <x:v>Lex Fridman</x:v>
      </x:c>
      <x:c r="J326" s="22" t="str">
        <x:v>Profile Interview</x:v>
      </x:c>
      <x:c r="K326" s="23" t="n">
        <x:v>151</x:v>
      </x:c>
      <x:c r="L326" s="16" t="str">
        <x:v>https://www.youtube.com/watch?v=FUS6ceIvUnI</x:v>
      </x:c>
      <x:c r="M326" s="21" t="str">
        <x:v>YouTube</x:v>
      </x:c>
      <x:c r="N326" s="24" t="n">
        <x:v>140243</x:v>
      </x:c>
      <x:c r="O326" s="22" t="str">
        <x:v>A | Official / Original Creator / Organizer</x:v>
      </x:c>
      <x:c r="P326" s="22" t="str">
        <x:v>Core</x:v>
      </x:c>
      <x:c r="Q326" s="22" t="str">
        <x:v>Verified</x:v>
      </x:c>
      <x:c r="R326" s="25" t="n">
        <x:v>46244</x:v>
      </x:c>
      <x:c r="S326" s="17" t="str">
        <x:v>Targeted addition for the four priority areas; public YouTube result verified as accessible.</x:v>
      </x:c>
      <x:c r="T326" s="16" t="str">
        <x:v>FUS6ceIvUnI</x:v>
      </x:c>
    </x:row>
    <x:row r="327" ht="42" customHeight="1">
      <x:c r="A327" s="21" t="str">
        <x:v>ST-326</x:v>
      </x:c>
      <x:c r="B327" s="21" t="str">
        <x:v>Interview</x:v>
      </x:c>
      <x:c r="C327" s="21" t="str">
        <x:v>Vision</x:v>
      </x:c>
      <x:c r="D327" s="17" t="str">
        <x:v>Vision</x:v>
      </x:c>
      <x:c r="E327" s="17" t="str">
        <x:v>Vision</x:v>
      </x:c>
      <x:c r="F327" s="22" t="str">
        <x:v>English</x:v>
      </x:c>
      <x:c r="G327" s="17" t="str">
        <x:v>Jitendra Malik: Computer Vision | Lex Fridman Podcast #110</x:v>
      </x:c>
      <x:c r="H327" s="17" t="str">
        <x:v>To be added</x:v>
      </x:c>
      <x:c r="I327" s="17" t="str">
        <x:v>Lex Fridman</x:v>
      </x:c>
      <x:c r="J327" s="22" t="str">
        <x:v>Profile Interview</x:v>
      </x:c>
      <x:c r="K327" s="23" t="n">
        <x:v>102</x:v>
      </x:c>
      <x:c r="L327" s="16" t="str">
        <x:v>https://www.youtube.com/watch?v=LRYkH-fAVGE</x:v>
      </x:c>
      <x:c r="M327" s="21" t="str">
        <x:v>YouTube</x:v>
      </x:c>
      <x:c r="N327" s="24" t="n">
        <x:v>73747</x:v>
      </x:c>
      <x:c r="O327" s="22" t="str">
        <x:v>A | Official / Original Creator / Organizer</x:v>
      </x:c>
      <x:c r="P327" s="22" t="str">
        <x:v>Core</x:v>
      </x:c>
      <x:c r="Q327" s="22" t="str">
        <x:v>Verified</x:v>
      </x:c>
      <x:c r="R327" s="25" t="n">
        <x:v>46244</x:v>
      </x:c>
      <x:c r="S327" s="17" t="str">
        <x:v>Targeted addition for the four priority areas; public YouTube result verified as accessible.</x:v>
      </x:c>
      <x:c r="T327" s="16" t="str">
        <x:v>LRYkH-fAVGE</x:v>
      </x:c>
    </x:row>
    <x:row r="328" ht="42" customHeight="1">
      <x:c r="A328" s="21" t="str">
        <x:v>ST-327</x:v>
      </x:c>
      <x:c r="B328" s="21" t="str">
        <x:v>Interview</x:v>
      </x:c>
      <x:c r="C328" s="21" t="str">
        <x:v>Vision</x:v>
      </x:c>
      <x:c r="D328" s="17" t="str">
        <x:v>Vision</x:v>
      </x:c>
      <x:c r="E328" s="17" t="str">
        <x:v>AI for Science</x:v>
      </x:c>
      <x:c r="F328" s="22" t="str">
        <x:v>English</x:v>
      </x:c>
      <x:c r="G328" s="17" t="str">
        <x:v>Interview with Dmytro Mishkin | Computer Vision Research | Kaggle, ML &amp; Education</x:v>
      </x:c>
      <x:c r="H328" s="17" t="str">
        <x:v>To be added</x:v>
      </x:c>
      <x:c r="I328" s="17" t="str">
        <x:v>Chai Time Data Science</x:v>
      </x:c>
      <x:c r="J328" s="22" t="str">
        <x:v>Profile Interview</x:v>
      </x:c>
      <x:c r="K328" s="23" t="n">
        <x:v>53</x:v>
      </x:c>
      <x:c r="L328" s="16" t="str">
        <x:v>https://www.youtube.com/watch?v=lWwkbiufwNE</x:v>
      </x:c>
      <x:c r="M328" s="21" t="str">
        <x:v>YouTube</x:v>
      </x:c>
      <x:c r="N328" s="24" t="n">
        <x:v>10163</x:v>
      </x:c>
      <x:c r="O328" s="22" t="str">
        <x:v>C | Community Selection</x:v>
      </x:c>
      <x:c r="P328" s="22" t="str">
        <x:v>Reserve</x:v>
      </x:c>
      <x:c r="Q328" s="22" t="str">
        <x:v>Verified</x:v>
      </x:c>
      <x:c r="R328" s="25" t="n">
        <x:v>46244</x:v>
      </x:c>
      <x:c r="S328" s="17" t="str">
        <x:v>Targeted addition for the four priority areas; public YouTube result verified as accessible.</x:v>
      </x:c>
      <x:c r="T328" s="16" t="str">
        <x:v>lWwkbiufwNE</x:v>
      </x:c>
    </x:row>
    <x:row r="329" ht="42" customHeight="1">
      <x:c r="A329" s="21" t="str">
        <x:v>ST-328</x:v>
      </x:c>
      <x:c r="B329" s="21" t="str">
        <x:v>Interview</x:v>
      </x:c>
      <x:c r="C329" s="21" t="str">
        <x:v>Robotics</x:v>
      </x:c>
      <x:c r="D329" s="17" t="str">
        <x:v>Robotics</x:v>
      </x:c>
      <x:c r="E329" s="17" t="str">
        <x:v>Robotics</x:v>
      </x:c>
      <x:c r="F329" s="22" t="str">
        <x:v>English</x:v>
      </x:c>
      <x:c r="G329" s="17" t="str">
        <x:v>Interview: The Future of AI and Us | Particles of Thought</x:v>
      </x:c>
      <x:c r="H329" s="17" t="str">
        <x:v>To be added</x:v>
      </x:c>
      <x:c r="I329" s="17" t="str">
        <x:v>NOVA PBS Official</x:v>
      </x:c>
      <x:c r="J329" s="22" t="str">
        <x:v>Profile Interview</x:v>
      </x:c>
      <x:c r="K329" s="23" t="n">
        <x:v>69</x:v>
      </x:c>
      <x:c r="L329" s="16" t="str">
        <x:v>https://www.youtube.com/watch?v=rb4eOv5etkA</x:v>
      </x:c>
      <x:c r="M329" s="21" t="str">
        <x:v>YouTube</x:v>
      </x:c>
      <x:c r="N329" s="24" t="n">
        <x:v>7069</x:v>
      </x:c>
      <x:c r="O329" s="22" t="str">
        <x:v>A | Official / Original Creator / Organizer</x:v>
      </x:c>
      <x:c r="P329" s="22" t="str">
        <x:v>Core</x:v>
      </x:c>
      <x:c r="Q329" s="22" t="str">
        <x:v>Verified</x:v>
      </x:c>
      <x:c r="R329" s="25" t="n">
        <x:v>46244</x:v>
      </x:c>
      <x:c r="S329" s="17" t="str">
        <x:v>Targeted addition for the four priority areas; public YouTube result verified as accessible.</x:v>
      </x:c>
      <x:c r="T329" s="16" t="str">
        <x:v>rb4eOv5etkA</x:v>
      </x:c>
    </x:row>
    <x:row r="330" ht="42" customHeight="1">
      <x:c r="A330" s="21" t="str">
        <x:v>ST-329</x:v>
      </x:c>
      <x:c r="B330" s="21" t="str">
        <x:v>Interview</x:v>
      </x:c>
      <x:c r="C330" s="21" t="str">
        <x:v>Robotics</x:v>
      </x:c>
      <x:c r="D330" s="17" t="str">
        <x:v>Robotics</x:v>
      </x:c>
      <x:c r="E330" s="17" t="str">
        <x:v>Robotics</x:v>
      </x:c>
      <x:c r="F330" s="22" t="str">
        <x:v>English</x:v>
      </x:c>
      <x:c r="G330" s="17" t="str">
        <x:v>China’s Embodied AI: A Conversation with William Hannas and Hugh Grant-Chapman</x:v>
      </x:c>
      <x:c r="H330" s="17" t="str">
        <x:v>To be added</x:v>
      </x:c>
      <x:c r="I330" s="17" t="str">
        <x:v>Center for Strategic &amp; International Studies</x:v>
      </x:c>
      <x:c r="J330" s="22" t="str">
        <x:v>Profile Interview</x:v>
      </x:c>
      <x:c r="K330" s="23" t="n">
        <x:v>36</x:v>
      </x:c>
      <x:c r="L330" s="16" t="str">
        <x:v>https://www.youtube.com/watch?v=LpxVsOLkSR8</x:v>
      </x:c>
      <x:c r="M330" s="21" t="str">
        <x:v>YouTube</x:v>
      </x:c>
      <x:c r="N330" s="24" t="n">
        <x:v>3313</x:v>
      </x:c>
      <x:c r="O330" s="22" t="str">
        <x:v>A | Official / Original Creator / Organizer</x:v>
      </x:c>
      <x:c r="P330" s="22" t="str">
        <x:v>Core</x:v>
      </x:c>
      <x:c r="Q330" s="22" t="str">
        <x:v>Verified</x:v>
      </x:c>
      <x:c r="R330" s="25" t="n">
        <x:v>46244</x:v>
      </x:c>
      <x:c r="S330" s="17" t="str">
        <x:v>Targeted addition for the four priority areas; public YouTube result verified as accessible.</x:v>
      </x:c>
      <x:c r="T330" s="16" t="str">
        <x:v>LpxVsOLkSR8</x:v>
      </x:c>
    </x:row>
    <x:row r="331" ht="42" customHeight="1">
      <x:c r="A331" s="21" t="str">
        <x:v>ST-330</x:v>
      </x:c>
      <x:c r="B331" s="21" t="str">
        <x:v>Interview</x:v>
      </x:c>
      <x:c r="C331" s="21" t="str">
        <x:v>Robotics</x:v>
      </x:c>
      <x:c r="D331" s="17" t="str">
        <x:v>Robotics</x:v>
      </x:c>
      <x:c r="E331" s="17" t="str">
        <x:v>Robotics</x:v>
      </x:c>
      <x:c r="F331" s="22" t="str">
        <x:v>English</x:v>
      </x:c>
      <x:c r="G331" s="17" t="str">
        <x:v>The Rise of Humanoid Robots and Physical AI - RoboStrategy CEO Andrew Kang on the Pomp Podcast</x:v>
      </x:c>
      <x:c r="H331" s="17" t="str">
        <x:v>To be added</x:v>
      </x:c>
      <x:c r="I331" s="17" t="str">
        <x:v>RoboStrategy</x:v>
      </x:c>
      <x:c r="J331" s="22" t="str">
        <x:v>Profile Interview</x:v>
      </x:c>
      <x:c r="K331" s="23" t="n">
        <x:v>72</x:v>
      </x:c>
      <x:c r="L331" s="16" t="str">
        <x:v>https://www.youtube.com/watch?v=g0quk3vTGDc</x:v>
      </x:c>
      <x:c r="M331" s="21" t="str">
        <x:v>YouTube</x:v>
      </x:c>
      <x:c r="N331" s="24" t="n">
        <x:v>9838</x:v>
      </x:c>
      <x:c r="O331" s="22" t="str">
        <x:v>C | Community Selection</x:v>
      </x:c>
      <x:c r="P331" s="22" t="str">
        <x:v>Reserve</x:v>
      </x:c>
      <x:c r="Q331" s="22" t="str">
        <x:v>Verified</x:v>
      </x:c>
      <x:c r="R331" s="25" t="n">
        <x:v>46244</x:v>
      </x:c>
      <x:c r="S331" s="17" t="str">
        <x:v>Targeted addition for the four priority areas; public YouTube result verified as accessible.</x:v>
      </x:c>
      <x:c r="T331" s="16" t="str">
        <x:v>g0quk3vTGDc</x:v>
      </x:c>
    </x:row>
    <x:row r="332" ht="42" customHeight="1">
      <x:c r="A332" s="21" t="str">
        <x:v>ST-331</x:v>
      </x:c>
      <x:c r="B332" s="21" t="str">
        <x:v>Interview</x:v>
      </x:c>
      <x:c r="C332" s="21" t="str">
        <x:v>Robotics</x:v>
      </x:c>
      <x:c r="D332" s="17" t="str">
        <x:v>Robotics</x:v>
      </x:c>
      <x:c r="E332" s="17" t="str">
        <x:v>Robotics</x:v>
      </x:c>
      <x:c r="F332" s="22" t="str">
        <x:v>English</x:v>
      </x:c>
      <x:c r="G332" s="17" t="str">
        <x:v>The Fundamentals of Robotics - Peter Corke, Witek Jachimczyk, Remo Pillat | Podcast #136</x:v>
      </x:c>
      <x:c r="H332" s="17" t="str">
        <x:v>To be added</x:v>
      </x:c>
      <x:c r="I332" s="17" t="str">
        <x:v>Jousef Murad | Deep Dive</x:v>
      </x:c>
      <x:c r="J332" s="22" t="str">
        <x:v>Profile Interview</x:v>
      </x:c>
      <x:c r="K332" s="23" t="n">
        <x:v>64</x:v>
      </x:c>
      <x:c r="L332" s="16" t="str">
        <x:v>https://www.youtube.com/watch?v=4IkT7et2YcI</x:v>
      </x:c>
      <x:c r="M332" s="21" t="str">
        <x:v>YouTube</x:v>
      </x:c>
      <x:c r="N332" s="24" t="n">
        <x:v>7503</x:v>
      </x:c>
      <x:c r="O332" s="22" t="str">
        <x:v>C | Community Selection</x:v>
      </x:c>
      <x:c r="P332" s="22" t="str">
        <x:v>Reserve</x:v>
      </x:c>
      <x:c r="Q332" s="22" t="str">
        <x:v>Verified</x:v>
      </x:c>
      <x:c r="R332" s="25" t="n">
        <x:v>46244</x:v>
      </x:c>
      <x:c r="S332" s="17" t="str">
        <x:v>Targeted addition for the four priority areas; public YouTube result verified as accessible.</x:v>
      </x:c>
      <x:c r="T332" s="16" t="str">
        <x:v>4IkT7et2YcI</x:v>
      </x:c>
    </x:row>
    <x:row r="333" ht="42" customHeight="1">
      <x:c r="A333" s="21" t="str">
        <x:v>ST-332</x:v>
      </x:c>
      <x:c r="B333" s="21" t="str">
        <x:v>Interview</x:v>
      </x:c>
      <x:c r="C333" s="21" t="str">
        <x:v>Robotics</x:v>
      </x:c>
      <x:c r="D333" s="17" t="str">
        <x:v>Robotics</x:v>
      </x:c>
      <x:c r="E333" s="17" t="str">
        <x:v>Robotics</x:v>
      </x:c>
      <x:c r="F333" s="22" t="str">
        <x:v>English</x:v>
      </x:c>
      <x:c r="G333" s="17" t="str">
        <x:v>Embodied AI on the ISS - interview with Jamie Palmer</x:v>
      </x:c>
      <x:c r="H333" s="17" t="str">
        <x:v>To be added</x:v>
      </x:c>
      <x:c r="I333" s="17" t="str">
        <x:v>Robot Talk</x:v>
      </x:c>
      <x:c r="J333" s="22" t="str">
        <x:v>Profile Interview</x:v>
      </x:c>
      <x:c r="K333" s="23" t="n">
        <x:v>25</x:v>
      </x:c>
      <x:c r="L333" s="16" t="str">
        <x:v>https://www.youtube.com/watch?v=5jNsSC7ItWA</x:v>
      </x:c>
      <x:c r="M333" s="21" t="str">
        <x:v>YouTube</x:v>
      </x:c>
      <x:c r="N333" s="24" t="n">
        <x:v>132</x:v>
      </x:c>
      <x:c r="O333" s="22" t="str">
        <x:v>B | University / Conference / Institution</x:v>
      </x:c>
      <x:c r="P333" s="22" t="str">
        <x:v>Recommended</x:v>
      </x:c>
      <x:c r="Q333" s="22" t="str">
        <x:v>Verified</x:v>
      </x:c>
      <x:c r="R333" s="25" t="n">
        <x:v>46244</x:v>
      </x:c>
      <x:c r="S333" s="17" t="str">
        <x:v>Targeted addition for the four priority areas; public YouTube result verified as accessible.</x:v>
      </x:c>
      <x:c r="T333" s="16" t="str">
        <x:v>5jNsSC7ItWA</x:v>
      </x:c>
    </x:row>
    <x:row r="334" ht="42" customHeight="1">
      <x:c r="A334" s="21" t="str">
        <x:v>ST-333</x:v>
      </x:c>
      <x:c r="B334" s="21" t="str">
        <x:v>Interview</x:v>
      </x:c>
      <x:c r="C334" s="21" t="str">
        <x:v>Robotics</x:v>
      </x:c>
      <x:c r="D334" s="17" t="str">
        <x:v>Robotics</x:v>
      </x:c>
      <x:c r="E334" s="17" t="str">
        <x:v>Robotics</x:v>
      </x:c>
      <x:c r="F334" s="22" t="str">
        <x:v>English</x:v>
      </x:c>
      <x:c r="G334" s="17" t="str">
        <x:v>Home assistance robots, and robot learning and development - interview with Patricia Shaw</x:v>
      </x:c>
      <x:c r="H334" s="17" t="str">
        <x:v>To be added</x:v>
      </x:c>
      <x:c r="I334" s="17" t="str">
        <x:v>Robot Talk</x:v>
      </x:c>
      <x:c r="J334" s="22" t="str">
        <x:v>Profile Interview</x:v>
      </x:c>
      <x:c r="K334" s="23" t="n">
        <x:v>23</x:v>
      </x:c>
      <x:c r="L334" s="16" t="str">
        <x:v>https://www.youtube.com/watch?v=0U1ayWbOkes</x:v>
      </x:c>
      <x:c r="M334" s="21" t="str">
        <x:v>YouTube</x:v>
      </x:c>
      <x:c r="N334" s="24" t="n">
        <x:v>73</x:v>
      </x:c>
      <x:c r="O334" s="22" t="str">
        <x:v>B | University / Conference / Institution</x:v>
      </x:c>
      <x:c r="P334" s="22" t="str">
        <x:v>Recommended</x:v>
      </x:c>
      <x:c r="Q334" s="22" t="str">
        <x:v>Verified</x:v>
      </x:c>
      <x:c r="R334" s="25" t="n">
        <x:v>46244</x:v>
      </x:c>
      <x:c r="S334" s="17" t="str">
        <x:v>Targeted addition for the four priority areas; public YouTube result verified as accessible.</x:v>
      </x:c>
      <x:c r="T334" s="16" t="str">
        <x:v>0U1ayWbOkes</x:v>
      </x:c>
    </x:row>
    <x:row r="335" ht="42" customHeight="1">
      <x:c r="A335" s="21" t="str">
        <x:v>ST-334</x:v>
      </x:c>
      <x:c r="B335" s="21" t="str">
        <x:v>Course</x:v>
      </x:c>
      <x:c r="C335" s="21" t="str">
        <x:v>World Model</x:v>
      </x:c>
      <x:c r="D335" s="17" t="str">
        <x:v>World Models</x:v>
      </x:c>
      <x:c r="E335" s="17" t="str">
        <x:v>World Models</x:v>
      </x:c>
      <x:c r="F335" s="22" t="str">
        <x:v>English</x:v>
      </x:c>
      <x:c r="G335" s="17" t="str">
        <x:v>JEPA - A Path Towards Autonomous Machine Intelligence (Paper Explained)</x:v>
      </x:c>
      <x:c r="H335" s="17" t="str">
        <x:v>To be added</x:v>
      </x:c>
      <x:c r="I335" s="17" t="str">
        <x:v>Yannic Kilcher</x:v>
      </x:c>
      <x:c r="J335" s="22" t="str">
        <x:v>Open Course / Tutorial</x:v>
      </x:c>
      <x:c r="K335" s="23" t="n">
        <x:v>60</x:v>
      </x:c>
      <x:c r="L335" s="16" t="str">
        <x:v>https://www.youtube.com/watch?v=jSdHmImyUjk</x:v>
      </x:c>
      <x:c r="M335" s="21" t="str">
        <x:v>YouTube</x:v>
      </x:c>
      <x:c r="N335" s="24" t="n">
        <x:v>102262</x:v>
      </x:c>
      <x:c r="O335" s="22" t="str">
        <x:v>C | Community Selection</x:v>
      </x:c>
      <x:c r="P335" s="22" t="str">
        <x:v>Reserve</x:v>
      </x:c>
      <x:c r="Q335" s="22" t="str">
        <x:v>Verified</x:v>
      </x:c>
      <x:c r="R335" s="25" t="n">
        <x:v>46244</x:v>
      </x:c>
      <x:c r="S335" s="17" t="str">
        <x:v>Targeted addition for the four priority areas; public YouTube result verified as accessible.</x:v>
      </x:c>
      <x:c r="T335" s="16" t="str">
        <x:v>jSdHmImyUjk</x:v>
      </x:c>
    </x:row>
    <x:row r="336" ht="42" customHeight="1">
      <x:c r="A336" s="21" t="str">
        <x:v>ST-335</x:v>
      </x:c>
      <x:c r="B336" s="21" t="str">
        <x:v>Course</x:v>
      </x:c>
      <x:c r="C336" s="21" t="str">
        <x:v>World Model</x:v>
      </x:c>
      <x:c r="D336" s="17" t="str">
        <x:v>World Models</x:v>
      </x:c>
      <x:c r="E336" s="17" t="str">
        <x:v>World Models</x:v>
      </x:c>
      <x:c r="F336" s="22" t="str">
        <x:v>English</x:v>
      </x:c>
      <x:c r="G336" s="17" t="str">
        <x:v>V-JEPA: Revisiting Feature Prediction for Learning Visual Representations from Video (Explained)</x:v>
      </x:c>
      <x:c r="H336" s="17" t="str">
        <x:v>To be added</x:v>
      </x:c>
      <x:c r="I336" s="17" t="str">
        <x:v>Yannic Kilcher</x:v>
      </x:c>
      <x:c r="J336" s="22" t="str">
        <x:v>Open Course / Tutorial</x:v>
      </x:c>
      <x:c r="K336" s="23" t="n">
        <x:v>50</x:v>
      </x:c>
      <x:c r="L336" s="16" t="str">
        <x:v>https://www.youtube.com/watch?v=7UkJPwz_N_0</x:v>
      </x:c>
      <x:c r="M336" s="21" t="str">
        <x:v>YouTube</x:v>
      </x:c>
      <x:c r="N336" s="24" t="n">
        <x:v>60670</x:v>
      </x:c>
      <x:c r="O336" s="22" t="str">
        <x:v>C | Community Selection</x:v>
      </x:c>
      <x:c r="P336" s="22" t="str">
        <x:v>Reserve</x:v>
      </x:c>
      <x:c r="Q336" s="22" t="str">
        <x:v>Verified</x:v>
      </x:c>
      <x:c r="R336" s="25" t="n">
        <x:v>46244</x:v>
      </x:c>
      <x:c r="S336" s="17" t="str">
        <x:v>Targeted addition for the four priority areas; public YouTube result verified as accessible.</x:v>
      </x:c>
      <x:c r="T336" s="16" t="str">
        <x:v>7UkJPwz_N_0</x:v>
      </x:c>
    </x:row>
    <x:row r="337" ht="42" customHeight="1">
      <x:c r="A337" s="21" t="str">
        <x:v>ST-336</x:v>
      </x:c>
      <x:c r="B337" s="21" t="str">
        <x:v>Course</x:v>
      </x:c>
      <x:c r="C337" s="21" t="str">
        <x:v>World Model</x:v>
      </x:c>
      <x:c r="D337" s="17" t="str">
        <x:v>World Models</x:v>
      </x:c>
      <x:c r="E337" s="17" t="str">
        <x:v>Embodied AI; Robotics; World Models; AI for Science</x:v>
      </x:c>
      <x:c r="F337" s="22" t="str">
        <x:v>English</x:v>
      </x:c>
      <x:c r="G337" s="17" t="str">
        <x:v>Dreamer v2: Mastering Atari with Discrete World Models (Machine Learning Research Paper Explained)</x:v>
      </x:c>
      <x:c r="H337" s="17" t="str">
        <x:v>To be added</x:v>
      </x:c>
      <x:c r="I337" s="17" t="str">
        <x:v>Yannic Kilcher</x:v>
      </x:c>
      <x:c r="J337" s="22" t="str">
        <x:v>Open Course / Tutorial</x:v>
      </x:c>
      <x:c r="K337" s="23" t="n">
        <x:v>55</x:v>
      </x:c>
      <x:c r="L337" s="16" t="str">
        <x:v>https://www.youtube.com/watch?v=o75ybZ-6Uu8</x:v>
      </x:c>
      <x:c r="M337" s="21" t="str">
        <x:v>YouTube</x:v>
      </x:c>
      <x:c r="N337" s="24" t="n">
        <x:v>31209</x:v>
      </x:c>
      <x:c r="O337" s="22" t="str">
        <x:v>C | Community Selection</x:v>
      </x:c>
      <x:c r="P337" s="22" t="str">
        <x:v>Reserve</x:v>
      </x:c>
      <x:c r="Q337" s="22" t="str">
        <x:v>Verified</x:v>
      </x:c>
      <x:c r="R337" s="25" t="n">
        <x:v>46244</x:v>
      </x:c>
      <x:c r="S337" s="17" t="str">
        <x:v>Targeted addition for the four priority areas; public YouTube result verified as accessible.</x:v>
      </x:c>
      <x:c r="T337" s="16" t="str">
        <x:v>o75ybZ-6Uu8</x:v>
      </x:c>
    </x:row>
    <x:row r="338" ht="42" customHeight="1">
      <x:c r="A338" s="21" t="str">
        <x:v>ST-337</x:v>
      </x:c>
      <x:c r="B338" s="21" t="str">
        <x:v>Course</x:v>
      </x:c>
      <x:c r="C338" s="21" t="str">
        <x:v>World Model</x:v>
      </x:c>
      <x:c r="D338" s="17" t="str">
        <x:v>World Models</x:v>
      </x:c>
      <x:c r="E338" s="17" t="str">
        <x:v>Agents; Multi-Agent Systems</x:v>
      </x:c>
      <x:c r="F338" s="22" t="str">
        <x:v>English</x:v>
      </x:c>
      <x:c r="G338" s="17" t="str">
        <x:v>What Is Yann LeCun Cooking? JEPA Explained Simply</x:v>
      </x:c>
      <x:c r="H338" s="17" t="str">
        <x:v>To be added</x:v>
      </x:c>
      <x:c r="I338" s="17" t="str">
        <x:v>bycloud</x:v>
      </x:c>
      <x:c r="J338" s="22" t="str">
        <x:v>Open Course / Tutorial</x:v>
      </x:c>
      <x:c r="K338" s="23" t="n">
        <x:v>20</x:v>
      </x:c>
      <x:c r="L338" s="16" t="str">
        <x:v>https://www.youtube.com/watch?v=oM4neOyZOi0</x:v>
      </x:c>
      <x:c r="M338" s="21" t="str">
        <x:v>YouTube</x:v>
      </x:c>
      <x:c r="N338" s="24" t="n">
        <x:v>134473</x:v>
      </x:c>
      <x:c r="O338" s="22" t="str">
        <x:v>A | Official / Original Creator / Organizer</x:v>
      </x:c>
      <x:c r="P338" s="22" t="str">
        <x:v>Core</x:v>
      </x:c>
      <x:c r="Q338" s="22" t="str">
        <x:v>Verified</x:v>
      </x:c>
      <x:c r="R338" s="25" t="n">
        <x:v>46244</x:v>
      </x:c>
      <x:c r="S338" s="17" t="str">
        <x:v>Targeted addition for the four priority areas; public YouTube result verified as accessible.</x:v>
      </x:c>
      <x:c r="T338" s="16" t="str">
        <x:v>oM4neOyZOi0</x:v>
      </x:c>
    </x:row>
    <x:row r="339" ht="42" customHeight="1">
      <x:c r="A339" s="21" t="str">
        <x:v>ST-338</x:v>
      </x:c>
      <x:c r="B339" s="21" t="str">
        <x:v>Course</x:v>
      </x:c>
      <x:c r="C339" s="21" t="str">
        <x:v>World Model</x:v>
      </x:c>
      <x:c r="D339" s="17" t="str">
        <x:v>World Models</x:v>
      </x:c>
      <x:c r="E339" s="17" t="str">
        <x:v>Reinforcement Learning; Policy Optimization</x:v>
      </x:c>
      <x:c r="F339" s="22" t="str">
        <x:v>English</x:v>
      </x:c>
      <x:c r="G339" s="17" t="str">
        <x:v>DreamerV3 Tutorial. Paper, Diagrams, Clean Code</x:v>
      </x:c>
      <x:c r="H339" s="17" t="str">
        <x:v>To be added</x:v>
      </x:c>
      <x:c r="I339" s="17" t="str">
        <x:v>Inexperienced Me</x:v>
      </x:c>
      <x:c r="J339" s="22" t="str">
        <x:v>Open Course / Tutorial</x:v>
      </x:c>
      <x:c r="K339" s="23" t="n">
        <x:v>95</x:v>
      </x:c>
      <x:c r="L339" s="16" t="str">
        <x:v>https://www.youtube.com/watch?v=viXppDhx4R0</x:v>
      </x:c>
      <x:c r="M339" s="21" t="str">
        <x:v>YouTube</x:v>
      </x:c>
      <x:c r="N339" s="24" t="n">
        <x:v>8584</x:v>
      </x:c>
      <x:c r="O339" s="22" t="str">
        <x:v>C | Community Selection</x:v>
      </x:c>
      <x:c r="P339" s="22" t="str">
        <x:v>Reserve</x:v>
      </x:c>
      <x:c r="Q339" s="22" t="str">
        <x:v>Verified</x:v>
      </x:c>
      <x:c r="R339" s="25" t="n">
        <x:v>46244</x:v>
      </x:c>
      <x:c r="S339" s="17" t="str">
        <x:v>Targeted addition for the four priority areas; public YouTube result verified as accessible.</x:v>
      </x:c>
      <x:c r="T339" s="16" t="str">
        <x:v>viXppDhx4R0</x:v>
      </x:c>
    </x:row>
    <x:row r="340" ht="42" customHeight="1">
      <x:c r="A340" s="21" t="str">
        <x:v>ST-339</x:v>
      </x:c>
      <x:c r="B340" s="21" t="str">
        <x:v>Course</x:v>
      </x:c>
      <x:c r="C340" s="21" t="str">
        <x:v>World Model</x:v>
      </x:c>
      <x:c r="D340" s="17" t="str">
        <x:v>World Models</x:v>
      </x:c>
      <x:c r="E340" s="17" t="str">
        <x:v>Embodied AI; Robotics; World Models</x:v>
      </x:c>
      <x:c r="F340" s="22" t="str">
        <x:v>English</x:v>
      </x:c>
      <x:c r="G340" s="17" t="str">
        <x:v>Yann LeCun: Special Lecture on AI and World Models</x:v>
      </x:c>
      <x:c r="H340" s="17" t="str">
        <x:v>To be added</x:v>
      </x:c>
      <x:c r="I340" s="17" t="str">
        <x:v>Al-Khwarizmi Applied Mathematics Webinar</x:v>
      </x:c>
      <x:c r="J340" s="22" t="str">
        <x:v>Open Course / Tutorial</x:v>
      </x:c>
      <x:c r="K340" s="23" t="n">
        <x:v>105</x:v>
      </x:c>
      <x:c r="L340" s="16" t="str">
        <x:v>https://www.youtube.com/watch?v=vJKC31YpA8c</x:v>
      </x:c>
      <x:c r="M340" s="21" t="str">
        <x:v>YouTube</x:v>
      </x:c>
      <x:c r="N340" s="24" t="n">
        <x:v>28456</x:v>
      </x:c>
      <x:c r="O340" s="22" t="str">
        <x:v>C | Community Selection</x:v>
      </x:c>
      <x:c r="P340" s="22" t="str">
        <x:v>Reserve</x:v>
      </x:c>
      <x:c r="Q340" s="22" t="str">
        <x:v>Verified</x:v>
      </x:c>
      <x:c r="R340" s="25" t="n">
        <x:v>46244</x:v>
      </x:c>
      <x:c r="S340" s="17" t="str">
        <x:v>Targeted addition for the four priority areas; public YouTube result verified as accessible.</x:v>
      </x:c>
      <x:c r="T340" s="16" t="str">
        <x:v>vJKC31YpA8c</x:v>
      </x:c>
    </x:row>
    <x:row r="341" ht="42" customHeight="1">
      <x:c r="A341" s="21" t="str">
        <x:v>ST-340</x:v>
      </x:c>
      <x:c r="B341" s="21" t="str">
        <x:v>Course</x:v>
      </x:c>
      <x:c r="C341" s="21" t="str">
        <x:v>Agent</x:v>
      </x:c>
      <x:c r="D341" s="17" t="str">
        <x:v>Agents</x:v>
      </x:c>
      <x:c r="E341" s="17" t="str">
        <x:v>Agents; Multi-Agent Systems</x:v>
      </x:c>
      <x:c r="F341" s="22" t="str">
        <x:v>English</x:v>
      </x:c>
      <x:c r="G341" s="17" t="str">
        <x:v>Stanford CS230 | Autumn 2025 | Lecture 8: Agents, Prompts, and RAG</x:v>
      </x:c>
      <x:c r="H341" s="17" t="str">
        <x:v>To be added</x:v>
      </x:c>
      <x:c r="I341" s="17" t="str">
        <x:v>Stanford Online</x:v>
      </x:c>
      <x:c r="J341" s="22" t="str">
        <x:v>Open Course / Tutorial</x:v>
      </x:c>
      <x:c r="K341" s="23" t="n">
        <x:v>110</x:v>
      </x:c>
      <x:c r="L341" s="16" t="str">
        <x:v>https://www.youtube.com/watch?v=k1njvbBmfsw</x:v>
      </x:c>
      <x:c r="M341" s="21" t="str">
        <x:v>YouTube</x:v>
      </x:c>
      <x:c r="N341" s="24" t="n">
        <x:v>464100</x:v>
      </x:c>
      <x:c r="O341" s="22" t="str">
        <x:v>A | Official / Original Creator / Organizer</x:v>
      </x:c>
      <x:c r="P341" s="22" t="str">
        <x:v>Core</x:v>
      </x:c>
      <x:c r="Q341" s="22" t="str">
        <x:v>Verified</x:v>
      </x:c>
      <x:c r="R341" s="25" t="n">
        <x:v>46244</x:v>
      </x:c>
      <x:c r="S341" s="17" t="str">
        <x:v>Targeted addition for the four priority areas; public YouTube result verified as accessible.</x:v>
      </x:c>
      <x:c r="T341" s="16" t="str">
        <x:v>k1njvbBmfsw</x:v>
      </x:c>
    </x:row>
    <x:row r="342" ht="42" customHeight="1">
      <x:c r="A342" s="21" t="str">
        <x:v>ST-341</x:v>
      </x:c>
      <x:c r="B342" s="21" t="str">
        <x:v>Course</x:v>
      </x:c>
      <x:c r="C342" s="21" t="str">
        <x:v>Agent</x:v>
      </x:c>
      <x:c r="D342" s="17" t="str">
        <x:v>Agents</x:v>
      </x:c>
      <x:c r="E342" s="17" t="str">
        <x:v>Agents; Multi-Agent Systems</x:v>
      </x:c>
      <x:c r="F342" s="22" t="str">
        <x:v>English</x:v>
      </x:c>
      <x:c r="G342" s="17" t="str">
        <x:v>Stanford CS329A Self-Improving AI Agents | Part 1 | Course Overview</x:v>
      </x:c>
      <x:c r="H342" s="17" t="str">
        <x:v>To be added</x:v>
      </x:c>
      <x:c r="I342" s="17" t="str">
        <x:v>Stanford Online</x:v>
      </x:c>
      <x:c r="J342" s="22" t="str">
        <x:v>Open Course / Tutorial</x:v>
      </x:c>
      <x:c r="K342" s="23" t="n">
        <x:v>70</x:v>
      </x:c>
      <x:c r="L342" s="16" t="str">
        <x:v>https://www.youtube.com/watch?v=6YnLB0XbTnI</x:v>
      </x:c>
      <x:c r="M342" s="21" t="str">
        <x:v>YouTube</x:v>
      </x:c>
      <x:c r="N342" s="24" t="n">
        <x:v>217901</x:v>
      </x:c>
      <x:c r="O342" s="22" t="str">
        <x:v>A | Official / Original Creator / Organizer</x:v>
      </x:c>
      <x:c r="P342" s="22" t="str">
        <x:v>Core</x:v>
      </x:c>
      <x:c r="Q342" s="22" t="str">
        <x:v>Verified</x:v>
      </x:c>
      <x:c r="R342" s="25" t="n">
        <x:v>46244</x:v>
      </x:c>
      <x:c r="S342" s="17" t="str">
        <x:v>Targeted addition for the four priority areas; public YouTube result verified as accessible.</x:v>
      </x:c>
      <x:c r="T342" s="16" t="str">
        <x:v>6YnLB0XbTnI</x:v>
      </x:c>
    </x:row>
    <x:row r="343" ht="42" customHeight="1">
      <x:c r="A343" s="21" t="str">
        <x:v>ST-342</x:v>
      </x:c>
      <x:c r="B343" s="21" t="str">
        <x:v>Course</x:v>
      </x:c>
      <x:c r="C343" s="21" t="str">
        <x:v>Agent</x:v>
      </x:c>
      <x:c r="D343" s="17" t="str">
        <x:v>Agents</x:v>
      </x:c>
      <x:c r="E343" s="17" t="str">
        <x:v>Agents; Multi-Agent Systems; Large Language Models; Foundation Models; Industry Insights</x:v>
      </x:c>
      <x:c r="F343" s="22" t="str">
        <x:v>English</x:v>
      </x:c>
      <x:c r="G343" s="17" t="str">
        <x:v>Stanford CME295 Transformers &amp; LLMs | Autumn 2025 | Lecture 7 - Agentic LLMs</x:v>
      </x:c>
      <x:c r="H343" s="17" t="str">
        <x:v>To be added</x:v>
      </x:c>
      <x:c r="I343" s="17" t="str">
        <x:v>Stanford Online</x:v>
      </x:c>
      <x:c r="J343" s="22" t="str">
        <x:v>Open Course / Tutorial</x:v>
      </x:c>
      <x:c r="K343" s="23" t="n">
        <x:v>109</x:v>
      </x:c>
      <x:c r="L343" s="16" t="str">
        <x:v>https://www.youtube.com/watch?v=h-7S6HNq0Vg</x:v>
      </x:c>
      <x:c r="M343" s="21" t="str">
        <x:v>YouTube</x:v>
      </x:c>
      <x:c r="N343" s="24" t="n">
        <x:v>115168</x:v>
      </x:c>
      <x:c r="O343" s="22" t="str">
        <x:v>A | Official / Original Creator / Organizer</x:v>
      </x:c>
      <x:c r="P343" s="22" t="str">
        <x:v>Core</x:v>
      </x:c>
      <x:c r="Q343" s="22" t="str">
        <x:v>Verified</x:v>
      </x:c>
      <x:c r="R343" s="25" t="n">
        <x:v>46244</x:v>
      </x:c>
      <x:c r="S343" s="17" t="str">
        <x:v>Targeted addition for the four priority areas; public YouTube result verified as accessible.</x:v>
      </x:c>
      <x:c r="T343" s="16" t="str">
        <x:v>h-7S6HNq0Vg</x:v>
      </x:c>
    </x:row>
    <x:row r="344" ht="42" customHeight="1">
      <x:c r="A344" s="21" t="str">
        <x:v>ST-343</x:v>
      </x:c>
      <x:c r="B344" s="21" t="str">
        <x:v>Course</x:v>
      </x:c>
      <x:c r="C344" s="21" t="str">
        <x:v>Agent</x:v>
      </x:c>
      <x:c r="D344" s="17" t="str">
        <x:v>Agents</x:v>
      </x:c>
      <x:c r="E344" s="17" t="str">
        <x:v>Agents; Multi-Agent Systems</x:v>
      </x:c>
      <x:c r="F344" s="22" t="str">
        <x:v>English</x:v>
      </x:c>
      <x:c r="G344" s="17" t="str">
        <x:v>Stanford CS234 Reinforcement Learning I Multi-Agent Game Playing I 2024 I Lecture 14</x:v>
      </x:c>
      <x:c r="H344" s="17" t="str">
        <x:v>To be added</x:v>
      </x:c>
      <x:c r="I344" s="17" t="str">
        <x:v>Stanford Online</x:v>
      </x:c>
      <x:c r="J344" s="22" t="str">
        <x:v>Open Course / Tutorial</x:v>
      </x:c>
      <x:c r="K344" s="23" t="n">
        <x:v>73</x:v>
      </x:c>
      <x:c r="L344" s="16" t="str">
        <x:v>https://www.youtube.com/watch?v=UgANzoWc0nc</x:v>
      </x:c>
      <x:c r="M344" s="21" t="str">
        <x:v>YouTube</x:v>
      </x:c>
      <x:c r="N344" s="24" t="n">
        <x:v>8285</x:v>
      </x:c>
      <x:c r="O344" s="22" t="str">
        <x:v>A | Official / Original Creator / Organizer</x:v>
      </x:c>
      <x:c r="P344" s="22" t="str">
        <x:v>Core</x:v>
      </x:c>
      <x:c r="Q344" s="22" t="str">
        <x:v>Verified</x:v>
      </x:c>
      <x:c r="R344" s="25" t="n">
        <x:v>46244</x:v>
      </x:c>
      <x:c r="S344" s="17" t="str">
        <x:v>Targeted addition for the four priority areas; public YouTube result verified as accessible.</x:v>
      </x:c>
      <x:c r="T344" s="16" t="str">
        <x:v>UgANzoWc0nc</x:v>
      </x:c>
    </x:row>
    <x:row r="345" ht="42" customHeight="1">
      <x:c r="A345" s="21" t="str">
        <x:v>ST-344</x:v>
      </x:c>
      <x:c r="B345" s="21" t="str">
        <x:v>Course</x:v>
      </x:c>
      <x:c r="C345" s="21" t="str">
        <x:v>Agent</x:v>
      </x:c>
      <x:c r="D345" s="17" t="str">
        <x:v>Agents</x:v>
      </x:c>
      <x:c r="E345" s="17" t="str">
        <x:v>Agents; Multi-Agent Systems</x:v>
      </x:c>
      <x:c r="F345" s="22" t="str">
        <x:v>English</x:v>
      </x:c>
      <x:c r="G345" s="17" t="str">
        <x:v>AI Agents, Clearly Explained</x:v>
      </x:c>
      <x:c r="H345" s="17" t="str">
        <x:v>To be added</x:v>
      </x:c>
      <x:c r="I345" s="17" t="str">
        <x:v>Jeff Su</x:v>
      </x:c>
      <x:c r="J345" s="22" t="str">
        <x:v>Open Course / Tutorial</x:v>
      </x:c>
      <x:c r="K345" s="23" t="n">
        <x:v>10</x:v>
      </x:c>
      <x:c r="L345" s="16" t="str">
        <x:v>https://www.youtube.com/watch?v=FwOTs4UxQS4</x:v>
      </x:c>
      <x:c r="M345" s="21" t="str">
        <x:v>YouTube</x:v>
      </x:c>
      <x:c r="N345" s="24" t="n">
        <x:v>4705044</x:v>
      </x:c>
      <x:c r="O345" s="22" t="str">
        <x:v>A | Official / Original Creator / Organizer</x:v>
      </x:c>
      <x:c r="P345" s="22" t="str">
        <x:v>Core</x:v>
      </x:c>
      <x:c r="Q345" s="22" t="str">
        <x:v>Verified</x:v>
      </x:c>
      <x:c r="R345" s="25" t="n">
        <x:v>46244</x:v>
      </x:c>
      <x:c r="S345" s="17" t="str">
        <x:v>Targeted addition for the four priority areas; public YouTube result verified as accessible.</x:v>
      </x:c>
      <x:c r="T345" s="16" t="str">
        <x:v>FwOTs4UxQS4</x:v>
      </x:c>
    </x:row>
    <x:row r="346" ht="42" customHeight="1">
      <x:c r="A346" s="21" t="str">
        <x:v>ST-345</x:v>
      </x:c>
      <x:c r="B346" s="21" t="str">
        <x:v>Course</x:v>
      </x:c>
      <x:c r="C346" s="21" t="str">
        <x:v>Agent</x:v>
      </x:c>
      <x:c r="D346" s="17" t="str">
        <x:v>Agents</x:v>
      </x:c>
      <x:c r="E346" s="17" t="str">
        <x:v>Agents; Multi-Agent Systems; Reinforcement Learning; Policy Optimization</x:v>
      </x:c>
      <x:c r="F346" s="22" t="str">
        <x:v>English</x:v>
      </x:c>
      <x:c r="G346" s="17" t="str">
        <x:v>Build &amp; Sell n8n AI Agents (8+ Hour Course, No Code)</x:v>
      </x:c>
      <x:c r="H346" s="17" t="str">
        <x:v>To be added</x:v>
      </x:c>
      <x:c r="I346" s="17" t="str">
        <x:v>Nate Herk | AI Automation</x:v>
      </x:c>
      <x:c r="J346" s="22" t="str">
        <x:v>Open Course / Tutorial</x:v>
      </x:c>
      <x:c r="K346" s="23" t="n">
        <x:v>507</x:v>
      </x:c>
      <x:c r="L346" s="16" t="str">
        <x:v>https://www.youtube.com/watch?v=Ey18PDiaAYI</x:v>
      </x:c>
      <x:c r="M346" s="21" t="str">
        <x:v>YouTube</x:v>
      </x:c>
      <x:c r="N346" s="24" t="n">
        <x:v>1811537</x:v>
      </x:c>
      <x:c r="O346" s="22" t="str">
        <x:v>A | Official / Original Creator / Organizer</x:v>
      </x:c>
      <x:c r="P346" s="22" t="str">
        <x:v>Core</x:v>
      </x:c>
      <x:c r="Q346" s="22" t="str">
        <x:v>Verified</x:v>
      </x:c>
      <x:c r="R346" s="25" t="n">
        <x:v>46244</x:v>
      </x:c>
      <x:c r="S346" s="17" t="str">
        <x:v>Targeted addition for the four priority areas; public YouTube result verified as accessible.</x:v>
      </x:c>
      <x:c r="T346" s="16" t="str">
        <x:v>Ey18PDiaAYI</x:v>
      </x:c>
    </x:row>
    <x:row r="347" ht="42" customHeight="1">
      <x:c r="A347" s="21" t="str">
        <x:v>ST-346</x:v>
      </x:c>
      <x:c r="B347" s="21" t="str">
        <x:v>Course</x:v>
      </x:c>
      <x:c r="C347" s="21" t="str">
        <x:v>Vision</x:v>
      </x:c>
      <x:c r="D347" s="17" t="str">
        <x:v>Vision</x:v>
      </x:c>
      <x:c r="E347" s="17" t="str">
        <x:v>Vision</x:v>
      </x:c>
      <x:c r="F347" s="22" t="str">
        <x:v>English</x:v>
      </x:c>
      <x:c r="G347" s="17" t="str">
        <x:v>Deep Learning for Computer Vision with Python and TensorFlow – Complete Course</x:v>
      </x:c>
      <x:c r="H347" s="17" t="str">
        <x:v>To be added</x:v>
      </x:c>
      <x:c r="I347" s="17" t="str">
        <x:v>freeCodeCamp.org</x:v>
      </x:c>
      <x:c r="J347" s="22" t="str">
        <x:v>Open Course / Tutorial</x:v>
      </x:c>
      <x:c r="K347" s="23" t="n">
        <x:v>2237</x:v>
      </x:c>
      <x:c r="L347" s="16" t="str">
        <x:v>https://www.youtube.com/watch?v=IA3WxTTPXqQ</x:v>
      </x:c>
      <x:c r="M347" s="21" t="str">
        <x:v>YouTube</x:v>
      </x:c>
      <x:c r="N347" s="24" t="n">
        <x:v>1194366</x:v>
      </x:c>
      <x:c r="O347" s="22" t="str">
        <x:v>A | Official / Original Creator / Organizer</x:v>
      </x:c>
      <x:c r="P347" s="22" t="str">
        <x:v>Core</x:v>
      </x:c>
      <x:c r="Q347" s="22" t="str">
        <x:v>Verified</x:v>
      </x:c>
      <x:c r="R347" s="25" t="n">
        <x:v>46244</x:v>
      </x:c>
      <x:c r="S347" s="17" t="str">
        <x:v>Targeted addition for the four priority areas; public YouTube result verified as accessible.</x:v>
      </x:c>
      <x:c r="T347" s="16" t="str">
        <x:v>IA3WxTTPXqQ</x:v>
      </x:c>
    </x:row>
    <x:row r="348" ht="42" customHeight="1">
      <x:c r="A348" s="21" t="str">
        <x:v>ST-347</x:v>
      </x:c>
      <x:c r="B348" s="21" t="str">
        <x:v>Course</x:v>
      </x:c>
      <x:c r="C348" s="21" t="str">
        <x:v>Vision</x:v>
      </x:c>
      <x:c r="D348" s="17" t="str">
        <x:v>Vision</x:v>
      </x:c>
      <x:c r="E348" s="17" t="str">
        <x:v>Vision</x:v>
      </x:c>
      <x:c r="F348" s="22" t="str">
        <x:v>English</x:v>
      </x:c>
      <x:c r="G348" s="17" t="str">
        <x:v>Computer Vision: Crash Course Computer Science #35</x:v>
      </x:c>
      <x:c r="H348" s="17" t="str">
        <x:v>To be added</x:v>
      </x:c>
      <x:c r="I348" s="17" t="str">
        <x:v>CrashCourse</x:v>
      </x:c>
      <x:c r="J348" s="22" t="str">
        <x:v>Open Course / Tutorial</x:v>
      </x:c>
      <x:c r="K348" s="23" t="n">
        <x:v>11</x:v>
      </x:c>
      <x:c r="L348" s="16" t="str">
        <x:v>https://www.youtube.com/watch?v=-4E2-0sxVUM</x:v>
      </x:c>
      <x:c r="M348" s="21" t="str">
        <x:v>YouTube</x:v>
      </x:c>
      <x:c r="N348" s="24" t="n">
        <x:v>486175</x:v>
      </x:c>
      <x:c r="O348" s="22" t="str">
        <x:v>A | Official / Original Creator / Organizer</x:v>
      </x:c>
      <x:c r="P348" s="22" t="str">
        <x:v>Core</x:v>
      </x:c>
      <x:c r="Q348" s="22" t="str">
        <x:v>Verified</x:v>
      </x:c>
      <x:c r="R348" s="25" t="n">
        <x:v>46244</x:v>
      </x:c>
      <x:c r="S348" s="17" t="str">
        <x:v>Targeted addition for the four priority areas; public YouTube result verified as accessible.</x:v>
      </x:c>
      <x:c r="T348" s="16" t="str">
        <x:v>-4E2-0sxVUM</x:v>
      </x:c>
    </x:row>
    <x:row r="349" ht="42" customHeight="1">
      <x:c r="A349" s="21" t="str">
        <x:v>ST-348</x:v>
      </x:c>
      <x:c r="B349" s="21" t="str">
        <x:v>Course</x:v>
      </x:c>
      <x:c r="C349" s="21" t="str">
        <x:v>Vision</x:v>
      </x:c>
      <x:c r="D349" s="17" t="str">
        <x:v>Vision</x:v>
      </x:c>
      <x:c r="E349" s="17" t="str">
        <x:v>Vision</x:v>
      </x:c>
      <x:c r="F349" s="22" t="str">
        <x:v>English</x:v>
      </x:c>
      <x:c r="G349" s="17" t="str">
        <x:v>Tutorial on OpenMMLab</x:v>
      </x:c>
      <x:c r="H349" s="17" t="str">
        <x:v>To be added</x:v>
      </x:c>
      <x:c r="I349" s="17" t="str">
        <x:v>OpenMMLab</x:v>
      </x:c>
      <x:c r="J349" s="22" t="str">
        <x:v>Open Course / Tutorial</x:v>
      </x:c>
      <x:c r="K349" s="23" t="n">
        <x:v>66</x:v>
      </x:c>
      <x:c r="L349" s="16" t="str">
        <x:v>https://www.youtube.com/watch?v=GuEjF4G1L3w</x:v>
      </x:c>
      <x:c r="M349" s="21" t="str">
        <x:v>YouTube</x:v>
      </x:c>
      <x:c r="N349" s="24" t="n">
        <x:v>13300</x:v>
      </x:c>
      <x:c r="O349" s="22" t="str">
        <x:v>A | Official / Original Creator / Organizer</x:v>
      </x:c>
      <x:c r="P349" s="22" t="str">
        <x:v>Core</x:v>
      </x:c>
      <x:c r="Q349" s="22" t="str">
        <x:v>Verified</x:v>
      </x:c>
      <x:c r="R349" s="25" t="n">
        <x:v>46244</x:v>
      </x:c>
      <x:c r="S349" s="17" t="str">
        <x:v>Targeted addition for the four priority areas; public YouTube result verified as accessible.</x:v>
      </x:c>
      <x:c r="T349" s="16" t="str">
        <x:v>GuEjF4G1L3w</x:v>
      </x:c>
    </x:row>
    <x:row r="350" ht="42" customHeight="1">
      <x:c r="A350" s="21" t="str">
        <x:v>ST-349</x:v>
      </x:c>
      <x:c r="B350" s="21" t="str">
        <x:v>Course</x:v>
      </x:c>
      <x:c r="C350" s="21" t="str">
        <x:v>Vision</x:v>
      </x:c>
      <x:c r="D350" s="17" t="str">
        <x:v>Vision</x:v>
      </x:c>
      <x:c r="E350" s="17" t="str">
        <x:v>Vision</x:v>
      </x:c>
      <x:c r="F350" s="22" t="str">
        <x:v>English</x:v>
      </x:c>
      <x:c r="G350" s="17" t="str">
        <x:v>Computer Vision - Lecture 10.3 (Recognition: Object Detection and Segmentation)</x:v>
      </x:c>
      <x:c r="H350" s="17" t="str">
        <x:v>To be added</x:v>
      </x:c>
      <x:c r="I350" s="17" t="str">
        <x:v>Tübingen Machine Learning</x:v>
      </x:c>
      <x:c r="J350" s="22" t="str">
        <x:v>Open Course / Tutorial</x:v>
      </x:c>
      <x:c r="K350" s="23" t="n">
        <x:v>42</x:v>
      </x:c>
      <x:c r="L350" s="16" t="str">
        <x:v>https://www.youtube.com/watch?v=bXSvNCS56Uk</x:v>
      </x:c>
      <x:c r="M350" s="21" t="str">
        <x:v>YouTube</x:v>
      </x:c>
      <x:c r="N350" s="24" t="n">
        <x:v>5848</x:v>
      </x:c>
      <x:c r="O350" s="22" t="str">
        <x:v>C | Community Selection</x:v>
      </x:c>
      <x:c r="P350" s="22" t="str">
        <x:v>Reserve</x:v>
      </x:c>
      <x:c r="Q350" s="22" t="str">
        <x:v>Verified</x:v>
      </x:c>
      <x:c r="R350" s="25" t="n">
        <x:v>46244</x:v>
      </x:c>
      <x:c r="S350" s="17" t="str">
        <x:v>Targeted addition for the four priority areas; public YouTube result verified as accessible.</x:v>
      </x:c>
      <x:c r="T350" s="16" t="str">
        <x:v>bXSvNCS56Uk</x:v>
      </x:c>
    </x:row>
    <x:row r="351" ht="42" customHeight="1">
      <x:c r="A351" s="21" t="str">
        <x:v>ST-350</x:v>
      </x:c>
      <x:c r="B351" s="21" t="str">
        <x:v>Course</x:v>
      </x:c>
      <x:c r="C351" s="21" t="str">
        <x:v>Vision</x:v>
      </x:c>
      <x:c r="D351" s="17" t="str">
        <x:v>Vision</x:v>
      </x:c>
      <x:c r="E351" s="17" t="str">
        <x:v>AI for Science</x:v>
      </x:c>
      <x:c r="F351" s="22" t="str">
        <x:v>English</x:v>
      </x:c>
      <x:c r="G351" s="17" t="str">
        <x:v>【2021-CVPR】 | OpenMMLab Tutorial  Speaker：Kai Chen（SenseTime Research）</x:v>
      </x:c>
      <x:c r="H351" s="17" t="str">
        <x:v>2021-CVPR</x:v>
      </x:c>
      <x:c r="I351" s="17" t="str">
        <x:v>OpenMMLab</x:v>
      </x:c>
      <x:c r="J351" s="22" t="str">
        <x:v>Open Course / Tutorial</x:v>
      </x:c>
      <x:c r="K351" s="23" t="n">
        <x:v>27</x:v>
      </x:c>
      <x:c r="L351" s="16" t="str">
        <x:v>https://www.youtube.com/watch?v=oV9cw8fKQAs</x:v>
      </x:c>
      <x:c r="M351" s="21" t="str">
        <x:v>YouTube</x:v>
      </x:c>
      <x:c r="N351" s="24" t="n">
        <x:v>1809</x:v>
      </x:c>
      <x:c r="O351" s="22" t="str">
        <x:v>A | Official / Original Creator / Organizer</x:v>
      </x:c>
      <x:c r="P351" s="22" t="str">
        <x:v>Core</x:v>
      </x:c>
      <x:c r="Q351" s="22" t="str">
        <x:v>Verified</x:v>
      </x:c>
      <x:c r="R351" s="25" t="n">
        <x:v>46244</x:v>
      </x:c>
      <x:c r="S351" s="17" t="str">
        <x:v>Targeted addition for the four priority areas; public YouTube result verified as accessible.</x:v>
      </x:c>
      <x:c r="T351" s="16" t="str">
        <x:v>oV9cw8fKQAs</x:v>
      </x:c>
    </x:row>
    <x:row r="352" ht="42" customHeight="1">
      <x:c r="A352" s="21" t="str">
        <x:v>ST-351</x:v>
      </x:c>
      <x:c r="B352" s="21" t="str">
        <x:v>Course</x:v>
      </x:c>
      <x:c r="C352" s="21" t="str">
        <x:v>Vision</x:v>
      </x:c>
      <x:c r="D352" s="17" t="str">
        <x:v>Vision</x:v>
      </x:c>
      <x:c r="E352" s="17" t="str">
        <x:v>AI for Science</x:v>
      </x:c>
      <x:c r="F352" s="22" t="str">
        <x:v>English</x:v>
      </x:c>
      <x:c r="G352" s="17" t="str">
        <x:v>【2021-CVPR】 | OpenMMLab Tutorial Speaker：Alan Yuille（Prof.JHU）</x:v>
      </x:c>
      <x:c r="H352" s="17" t="str">
        <x:v>2021-CVPR</x:v>
      </x:c>
      <x:c r="I352" s="17" t="str">
        <x:v>OpenMMLab</x:v>
      </x:c>
      <x:c r="J352" s="22" t="str">
        <x:v>Open Course / Tutorial</x:v>
      </x:c>
      <x:c r="K352" s="23" t="n">
        <x:v>32</x:v>
      </x:c>
      <x:c r="L352" s="16" t="str">
        <x:v>https://www.youtube.com/watch?v=SukUGVII9Q0</x:v>
      </x:c>
      <x:c r="M352" s="21" t="str">
        <x:v>YouTube</x:v>
      </x:c>
      <x:c r="N352" s="24" t="n">
        <x:v>991</x:v>
      </x:c>
      <x:c r="O352" s="22" t="str">
        <x:v>A | Official / Original Creator / Organizer</x:v>
      </x:c>
      <x:c r="P352" s="22" t="str">
        <x:v>Core</x:v>
      </x:c>
      <x:c r="Q352" s="22" t="str">
        <x:v>Verified</x:v>
      </x:c>
      <x:c r="R352" s="25" t="n">
        <x:v>46244</x:v>
      </x:c>
      <x:c r="S352" s="17" t="str">
        <x:v>Targeted addition for the four priority areas; public YouTube result verified as accessible.</x:v>
      </x:c>
      <x:c r="T352" s="16" t="str">
        <x:v>SukUGVII9Q0</x:v>
      </x:c>
    </x:row>
    <x:row r="353" ht="42" customHeight="1">
      <x:c r="A353" s="21" t="str">
        <x:v>ST-352</x:v>
      </x:c>
      <x:c r="B353" s="21" t="str">
        <x:v>Course</x:v>
      </x:c>
      <x:c r="C353" s="21" t="str">
        <x:v>Robotics</x:v>
      </x:c>
      <x:c r="D353" s="17" t="str">
        <x:v>Robotics</x:v>
      </x:c>
      <x:c r="E353" s="17" t="str">
        <x:v>Robotics</x:v>
      </x:c>
      <x:c r="F353" s="22" t="str">
        <x:v>English</x:v>
      </x:c>
      <x:c r="G353" s="17" t="str">
        <x:v>Lecture 1 | Introduction to Robotics</x:v>
      </x:c>
      <x:c r="H353" s="17" t="str">
        <x:v>To be added</x:v>
      </x:c>
      <x:c r="I353" s="17" t="str">
        <x:v>Stanford</x:v>
      </x:c>
      <x:c r="J353" s="22" t="str">
        <x:v>Open Course / Tutorial</x:v>
      </x:c>
      <x:c r="K353" s="23" t="n">
        <x:v>58</x:v>
      </x:c>
      <x:c r="L353" s="16" t="str">
        <x:v>https://www.youtube.com/watch?v=0yD3uBshJB0</x:v>
      </x:c>
      <x:c r="M353" s="21" t="str">
        <x:v>YouTube</x:v>
      </x:c>
      <x:c r="N353" s="24" t="n">
        <x:v>761203</x:v>
      </x:c>
      <x:c r="O353" s="22" t="str">
        <x:v>A | Official / Original Creator / Organizer</x:v>
      </x:c>
      <x:c r="P353" s="22" t="str">
        <x:v>Core</x:v>
      </x:c>
      <x:c r="Q353" s="22" t="str">
        <x:v>Verified</x:v>
      </x:c>
      <x:c r="R353" s="25" t="n">
        <x:v>46244</x:v>
      </x:c>
      <x:c r="S353" s="17" t="str">
        <x:v>Targeted addition for the four priority areas; public YouTube result verified as accessible.</x:v>
      </x:c>
      <x:c r="T353" s="16" t="str">
        <x:v>0yD3uBshJB0</x:v>
      </x:c>
    </x:row>
    <x:row r="354" ht="42" customHeight="1">
      <x:c r="A354" s="21" t="str">
        <x:v>ST-353</x:v>
      </x:c>
      <x:c r="B354" s="21" t="str">
        <x:v>Course</x:v>
      </x:c>
      <x:c r="C354" s="21" t="str">
        <x:v>Robotics</x:v>
      </x:c>
      <x:c r="D354" s="17" t="str">
        <x:v>Robotics</x:v>
      </x:c>
      <x:c r="E354" s="17" t="str">
        <x:v>Robotics</x:v>
      </x:c>
      <x:c r="F354" s="22" t="str">
        <x:v>English</x:v>
      </x:c>
      <x:c r="G354" s="17" t="str">
        <x:v>Lecture 1 | MIT 6.832 Underactuated Robotics, Spring 2009</x:v>
      </x:c>
      <x:c r="H354" s="17" t="str">
        <x:v>To be added</x:v>
      </x:c>
      <x:c r="I354" s="17" t="str">
        <x:v>MIT OpenCourseWare</x:v>
      </x:c>
      <x:c r="J354" s="22" t="str">
        <x:v>Open Course / Tutorial</x:v>
      </x:c>
      <x:c r="K354" s="23" t="n">
        <x:v>74</x:v>
      </x:c>
      <x:c r="L354" s="16" t="str">
        <x:v>https://www.youtube.com/watch?v=Z8oMbOj9IWM</x:v>
      </x:c>
      <x:c r="M354" s="21" t="str">
        <x:v>YouTube</x:v>
      </x:c>
      <x:c r="N354" s="24" t="n">
        <x:v>171837</x:v>
      </x:c>
      <x:c r="O354" s="22" t="str">
        <x:v>A | Official / Original Creator / Organizer</x:v>
      </x:c>
      <x:c r="P354" s="22" t="str">
        <x:v>Core</x:v>
      </x:c>
      <x:c r="Q354" s="22" t="str">
        <x:v>Verified</x:v>
      </x:c>
      <x:c r="R354" s="25" t="n">
        <x:v>46244</x:v>
      </x:c>
      <x:c r="S354" s="17" t="str">
        <x:v>Targeted addition for the four priority areas; public YouTube result verified as accessible.</x:v>
      </x:c>
      <x:c r="T354" s="16" t="str">
        <x:v>Z8oMbOj9IWM</x:v>
      </x:c>
    </x:row>
    <x:row r="355" ht="42" customHeight="1">
      <x:c r="A355" s="21" t="str">
        <x:v>ST-354</x:v>
      </x:c>
      <x:c r="B355" s="21" t="str">
        <x:v>Course</x:v>
      </x:c>
      <x:c r="C355" s="21" t="str">
        <x:v>Robotics</x:v>
      </x:c>
      <x:c r="D355" s="17" t="str">
        <x:v>Robotics</x:v>
      </x:c>
      <x:c r="E355" s="17" t="str">
        <x:v>Robotics</x:v>
      </x:c>
      <x:c r="F355" s="22" t="str">
        <x:v>English</x:v>
      </x:c>
      <x:c r="G355" s="17" t="str">
        <x:v>Robot Learning 2026 – Lecture 1: Introduction to Robot Learning | ETH Zürich</x:v>
      </x:c>
      <x:c r="H355" s="17" t="str">
        <x:v>To be added</x:v>
      </x:c>
      <x:c r="I355" s="17" t="str">
        <x:v>Oier Mees</x:v>
      </x:c>
      <x:c r="J355" s="22" t="str">
        <x:v>Open Course / Tutorial</x:v>
      </x:c>
      <x:c r="K355" s="23" t="n">
        <x:v>65</x:v>
      </x:c>
      <x:c r="L355" s="16" t="str">
        <x:v>https://www.youtube.com/watch?v=X0k14u6pSxw</x:v>
      </x:c>
      <x:c r="M355" s="21" t="str">
        <x:v>YouTube</x:v>
      </x:c>
      <x:c r="N355" s="24" t="n">
        <x:v>17937</x:v>
      </x:c>
      <x:c r="O355" s="22" t="str">
        <x:v>C | Community Selection</x:v>
      </x:c>
      <x:c r="P355" s="22" t="str">
        <x:v>Reserve</x:v>
      </x:c>
      <x:c r="Q355" s="22" t="str">
        <x:v>Verified</x:v>
      </x:c>
      <x:c r="R355" s="25" t="n">
        <x:v>46244</x:v>
      </x:c>
      <x:c r="S355" s="17" t="str">
        <x:v>Targeted addition for the four priority areas; public YouTube result verified as accessible.</x:v>
      </x:c>
      <x:c r="T355" s="16" t="str">
        <x:v>X0k14u6pSxw</x:v>
      </x:c>
    </x:row>
    <x:row r="356" ht="42" customHeight="1">
      <x:c r="A356" s="21" t="str">
        <x:v>ST-355</x:v>
      </x:c>
      <x:c r="B356" s="21" t="str">
        <x:v>Course</x:v>
      </x:c>
      <x:c r="C356" s="21" t="str">
        <x:v>Robotics</x:v>
      </x:c>
      <x:c r="D356" s="17" t="str">
        <x:v>Robotics</x:v>
      </x:c>
      <x:c r="E356" s="17" t="str">
        <x:v>Robotics</x:v>
      </x:c>
      <x:c r="F356" s="22" t="str">
        <x:v>English</x:v>
      </x:c>
      <x:c r="G356" s="17" t="str">
        <x:v>6.8210 Spring 2024 Lecture 16: Humanoid Robots</x:v>
      </x:c>
      <x:c r="H356" s="17" t="str">
        <x:v>To be added</x:v>
      </x:c>
      <x:c r="I356" s="17" t="str">
        <x:v>underactuated</x:v>
      </x:c>
      <x:c r="J356" s="22" t="str">
        <x:v>Open Course / Tutorial</x:v>
      </x:c>
      <x:c r="K356" s="23" t="n">
        <x:v>79</x:v>
      </x:c>
      <x:c r="L356" s="16" t="str">
        <x:v>https://www.youtube.com/watch?v=cRu4EqBswbk</x:v>
      </x:c>
      <x:c r="M356" s="21" t="str">
        <x:v>YouTube</x:v>
      </x:c>
      <x:c r="N356" s="24" t="n">
        <x:v>4579</x:v>
      </x:c>
      <x:c r="O356" s="22" t="str">
        <x:v>C | Community Selection</x:v>
      </x:c>
      <x:c r="P356" s="22" t="str">
        <x:v>Reserve</x:v>
      </x:c>
      <x:c r="Q356" s="22" t="str">
        <x:v>Verified</x:v>
      </x:c>
      <x:c r="R356" s="25" t="n">
        <x:v>46244</x:v>
      </x:c>
      <x:c r="S356" s="17" t="str">
        <x:v>Targeted addition for the four priority areas; public YouTube result verified as accessible.</x:v>
      </x:c>
      <x:c r="T356" s="16" t="str">
        <x:v>cRu4EqBswbk</x:v>
      </x:c>
    </x:row>
    <x:row r="357" ht="42" customHeight="1">
      <x:c r="A357" s="21" t="str">
        <x:v>ST-356</x:v>
      </x:c>
      <x:c r="B357" s="21" t="str">
        <x:v>Course</x:v>
      </x:c>
      <x:c r="C357" s="21" t="str">
        <x:v>Robotics</x:v>
      </x:c>
      <x:c r="D357" s="17" t="str">
        <x:v>Robotics</x:v>
      </x:c>
      <x:c r="E357" s="17" t="str">
        <x:v>AI for Science</x:v>
      </x:c>
      <x:c r="F357" s="22" t="str">
        <x:v>English</x:v>
      </x:c>
      <x:c r="G357" s="17" t="str">
        <x:v>Soft Robotics and AI towards Embodied Intelligence | Embodied AI Lecture Series at AI2</x:v>
      </x:c>
      <x:c r="H357" s="17" t="str">
        <x:v>To be added</x:v>
      </x:c>
      <x:c r="I357" s="17" t="str">
        <x:v>Ai2</x:v>
      </x:c>
      <x:c r="J357" s="22" t="str">
        <x:v>Open Course / Tutorial</x:v>
      </x:c>
      <x:c r="K357" s="23" t="n">
        <x:v>55</x:v>
      </x:c>
      <x:c r="L357" s="16" t="str">
        <x:v>https://www.youtube.com/watch?v=3cnlhnuc6pc</x:v>
      </x:c>
      <x:c r="M357" s="21" t="str">
        <x:v>YouTube</x:v>
      </x:c>
      <x:c r="N357" s="24" t="n">
        <x:v>1903</x:v>
      </x:c>
      <x:c r="O357" s="22" t="str">
        <x:v>A | Official / Original Creator / Organizer</x:v>
      </x:c>
      <x:c r="P357" s="22" t="str">
        <x:v>Core</x:v>
      </x:c>
      <x:c r="Q357" s="22" t="str">
        <x:v>Verified</x:v>
      </x:c>
      <x:c r="R357" s="25" t="n">
        <x:v>46244</x:v>
      </x:c>
      <x:c r="S357" s="17" t="str">
        <x:v>Targeted addition for the four priority areas; public YouTube result verified as accessible.</x:v>
      </x:c>
      <x:c r="T357" s="16" t="str">
        <x:v>3cnlhnuc6pc</x:v>
      </x:c>
    </x:row>
    <x:row r="358" ht="42" customHeight="1">
      <x:c r="A358" s="21" t="str">
        <x:v>ST-357</x:v>
      </x:c>
      <x:c r="B358" s="21" t="str">
        <x:v>Course</x:v>
      </x:c>
      <x:c r="C358" s="21" t="str">
        <x:v>Robotics</x:v>
      </x:c>
      <x:c r="D358" s="17" t="str">
        <x:v>Robotics</x:v>
      </x:c>
      <x:c r="E358" s="17" t="str">
        <x:v>Agents; Multi-Agent Systems</x:v>
      </x:c>
      <x:c r="F358" s="22" t="str">
        <x:v>English</x:v>
      </x:c>
      <x:c r="G358" s="17" t="str">
        <x:v>Open-Ended Learning Leads to Generally Capable Agents | Embodied AI Lecture Series at AI2</x:v>
      </x:c>
      <x:c r="H358" s="17" t="str">
        <x:v>To be added</x:v>
      </x:c>
      <x:c r="I358" s="17" t="str">
        <x:v>Ai2</x:v>
      </x:c>
      <x:c r="J358" s="22" t="str">
        <x:v>Open Course / Tutorial</x:v>
      </x:c>
      <x:c r="K358" s="23" t="n">
        <x:v>59</x:v>
      </x:c>
      <x:c r="L358" s="16" t="str">
        <x:v>https://www.youtube.com/watch?v=hQv7pAWHmGw</x:v>
      </x:c>
      <x:c r="M358" s="21" t="str">
        <x:v>YouTube</x:v>
      </x:c>
      <x:c r="N358" s="24" t="n">
        <x:v>1091</x:v>
      </x:c>
      <x:c r="O358" s="22" t="str">
        <x:v>A | Official / Original Creator / Organizer</x:v>
      </x:c>
      <x:c r="P358" s="22" t="str">
        <x:v>Core</x:v>
      </x:c>
      <x:c r="Q358" s="22" t="str">
        <x:v>Verified</x:v>
      </x:c>
      <x:c r="R358" s="25" t="n">
        <x:v>46244</x:v>
      </x:c>
      <x:c r="S358" s="17" t="str">
        <x:v>Targeted addition for the four priority areas; public YouTube result verified as accessible.</x:v>
      </x:c>
      <x:c r="T358" s="16" t="str">
        <x:v>hQv7pAWHmGw</x:v>
      </x:c>
    </x:row>
    <x:row r="359" ht="42" customHeight="1">
      <x:c r="A359" s="21" t="str">
        <x:v>ST-358</x:v>
      </x:c>
      <x:c r="B359" s="21" t="str">
        <x:v>Talk</x:v>
      </x:c>
      <x:c r="C359" s="21" t="str">
        <x:v>World Model</x:v>
      </x:c>
      <x:c r="D359" s="17" t="str">
        <x:v>World Models</x:v>
      </x:c>
      <x:c r="E359" s="17" t="str">
        <x:v>Embodied AI; Robotics; World Models</x:v>
      </x:c>
      <x:c r="F359" s="22" t="str">
        <x:v>English</x:v>
      </x:c>
      <x:c r="G359" s="17" t="str">
        <x:v>FutureTech Conference 2025 "Al Automation with Generative World Models" by Yilun Du</x:v>
      </x:c>
      <x:c r="H359" s="17" t="str">
        <x:v>To be added</x:v>
      </x:c>
      <x:c r="I359" s="17" t="str">
        <x:v>MIT FutureTech</x:v>
      </x:c>
      <x:c r="J359" s="22" t="str">
        <x:v>Academic Talk</x:v>
      </x:c>
      <x:c r="K359" s="23" t="n">
        <x:v>43</x:v>
      </x:c>
      <x:c r="L359" s="16" t="str">
        <x:v>https://www.youtube.com/watch?v=Y0QXR09XgI0</x:v>
      </x:c>
      <x:c r="M359" s="21" t="str">
        <x:v>YouTube</x:v>
      </x:c>
      <x:c r="N359" s="24" t="n">
        <x:v>909</x:v>
      </x:c>
      <x:c r="O359" s="22" t="str">
        <x:v>A | Official / Original Creator / Organizer</x:v>
      </x:c>
      <x:c r="P359" s="22" t="str">
        <x:v>Core</x:v>
      </x:c>
      <x:c r="Q359" s="22" t="str">
        <x:v>Verified</x:v>
      </x:c>
      <x:c r="R359" s="25" t="n">
        <x:v>46244</x:v>
      </x:c>
      <x:c r="S359" s="17" t="str">
        <x:v>Targeted addition for the four priority areas; public YouTube result verified as accessible.</x:v>
      </x:c>
      <x:c r="T359" s="16" t="str">
        <x:v>Y0QXR09XgI0</x:v>
      </x:c>
    </x:row>
    <x:row r="360" ht="42" customHeight="1">
      <x:c r="A360" s="21" t="str">
        <x:v>ST-359</x:v>
      </x:c>
      <x:c r="B360" s="21" t="str">
        <x:v>Talk</x:v>
      </x:c>
      <x:c r="C360" s="21" t="str">
        <x:v>World Model</x:v>
      </x:c>
      <x:c r="D360" s="17" t="str">
        <x:v>World Models</x:v>
      </x:c>
      <x:c r="E360" s="17" t="str">
        <x:v>Embodied AI; Robotics; World Models</x:v>
      </x:c>
      <x:c r="F360" s="22" t="str">
        <x:v>English</x:v>
      </x:c>
      <x:c r="G360" s="17" t="str">
        <x:v>Colloquium Dec 11, 2025 - World Models and the Future of AI</x:v>
      </x:c>
      <x:c r="H360" s="17" t="str">
        <x:v>To be added</x:v>
      </x:c>
      <x:c r="I360" s="17" t="str">
        <x:v>NYU Physics</x:v>
      </x:c>
      <x:c r="J360" s="22" t="str">
        <x:v>Academic Talk</x:v>
      </x:c>
      <x:c r="K360" s="23" t="n">
        <x:v>72</x:v>
      </x:c>
      <x:c r="L360" s="16" t="str">
        <x:v>https://www.youtube.com/watch?v=2j78HCv6P5o</x:v>
      </x:c>
      <x:c r="M360" s="21" t="str">
        <x:v>YouTube</x:v>
      </x:c>
      <x:c r="N360" s="24" t="n">
        <x:v>4449</x:v>
      </x:c>
      <x:c r="O360" s="22" t="str">
        <x:v>C | Community Selection</x:v>
      </x:c>
      <x:c r="P360" s="22" t="str">
        <x:v>Reserve</x:v>
      </x:c>
      <x:c r="Q360" s="22" t="str">
        <x:v>Verified</x:v>
      </x:c>
      <x:c r="R360" s="25" t="n">
        <x:v>46244</x:v>
      </x:c>
      <x:c r="S360" s="17" t="str">
        <x:v>Targeted addition for the four priority areas; public YouTube result verified as accessible.</x:v>
      </x:c>
      <x:c r="T360" s="16" t="str">
        <x:v>2j78HCv6P5o</x:v>
      </x:c>
    </x:row>
    <x:row r="361" ht="42" customHeight="1">
      <x:c r="A361" s="21" t="str">
        <x:v>ST-360</x:v>
      </x:c>
      <x:c r="B361" s="21" t="str">
        <x:v>Talk</x:v>
      </x:c>
      <x:c r="C361" s="21" t="str">
        <x:v>World Model</x:v>
      </x:c>
      <x:c r="D361" s="17" t="str">
        <x:v>World Models</x:v>
      </x:c>
      <x:c r="E361" s="17" t="str">
        <x:v>Embodied AI; Robotics; World Models</x:v>
      </x:c>
      <x:c r="F361" s="22" t="str">
        <x:v>English</x:v>
      </x:c>
      <x:c r="G361" s="17" t="str">
        <x:v>VL-JEPA Oral Presentation at Mila World Modeling Workshop</x:v>
      </x:c>
      <x:c r="H361" s="17" t="str">
        <x:v>To be added</x:v>
      </x:c>
      <x:c r="I361" s="17" t="str">
        <x:v>Delong Chen</x:v>
      </x:c>
      <x:c r="J361" s="22" t="str">
        <x:v>Academic Talk</x:v>
      </x:c>
      <x:c r="K361" s="23" t="n">
        <x:v>15</x:v>
      </x:c>
      <x:c r="L361" s="16" t="str">
        <x:v>https://www.youtube.com/watch?v=gEjnxEDI9DU</x:v>
      </x:c>
      <x:c r="M361" s="21" t="str">
        <x:v>YouTube</x:v>
      </x:c>
      <x:c r="N361" s="24" t="n">
        <x:v>661</x:v>
      </x:c>
      <x:c r="O361" s="22" t="str">
        <x:v>C | Community Selection</x:v>
      </x:c>
      <x:c r="P361" s="22" t="str">
        <x:v>Reserve</x:v>
      </x:c>
      <x:c r="Q361" s="22" t="str">
        <x:v>Verified</x:v>
      </x:c>
      <x:c r="R361" s="25" t="n">
        <x:v>46244</x:v>
      </x:c>
      <x:c r="S361" s="17" t="str">
        <x:v>Targeted addition for the four priority areas; public YouTube result verified as accessible.</x:v>
      </x:c>
      <x:c r="T361" s="16" t="str">
        <x:v>gEjnxEDI9DU</x:v>
      </x:c>
    </x:row>
    <x:row r="362" ht="42" customHeight="1">
      <x:c r="A362" s="21" t="str">
        <x:v>ST-361</x:v>
      </x:c>
      <x:c r="B362" s="21" t="str">
        <x:v>Talk</x:v>
      </x:c>
      <x:c r="C362" s="21" t="str">
        <x:v>World Model</x:v>
      </x:c>
      <x:c r="D362" s="17" t="str">
        <x:v>World Models</x:v>
      </x:c>
      <x:c r="E362" s="17" t="str">
        <x:v>World Models</x:v>
      </x:c>
      <x:c r="F362" s="22" t="str">
        <x:v>English</x:v>
      </x:c>
      <x:c r="G362" s="17" t="str">
        <x:v>Spatial Intelligence as Structured Representation for Robotics - Wenlong Huang 2.20.2026</x:v>
      </x:c>
      <x:c r="H362" s="17" t="str">
        <x:v>To be added</x:v>
      </x:c>
      <x:c r="I362" s="17" t="str">
        <x:v>UT-Austin Robot Perception and Learning Lab</x:v>
      </x:c>
      <x:c r="J362" s="22" t="str">
        <x:v>Academic Talk</x:v>
      </x:c>
      <x:c r="K362" s="23" t="n">
        <x:v>60</x:v>
      </x:c>
      <x:c r="L362" s="16" t="str">
        <x:v>https://www.youtube.com/watch?v=0Orgo7j82mU</x:v>
      </x:c>
      <x:c r="M362" s="21" t="str">
        <x:v>YouTube</x:v>
      </x:c>
      <x:c r="N362" s="24" t="n">
        <x:v>393</x:v>
      </x:c>
      <x:c r="O362" s="22" t="str">
        <x:v>B | University / Conference / Institution</x:v>
      </x:c>
      <x:c r="P362" s="22" t="str">
        <x:v>Recommended</x:v>
      </x:c>
      <x:c r="Q362" s="22" t="str">
        <x:v>Verified</x:v>
      </x:c>
      <x:c r="R362" s="25" t="n">
        <x:v>46244</x:v>
      </x:c>
      <x:c r="S362" s="17" t="str">
        <x:v>Targeted addition for the four priority areas; public YouTube result verified as accessible.</x:v>
      </x:c>
      <x:c r="T362" s="16" t="str">
        <x:v>0Orgo7j82mU</x:v>
      </x:c>
    </x:row>
    <x:row r="363" ht="42" customHeight="1">
      <x:c r="A363" s="21" t="str">
        <x:v>ST-362</x:v>
      </x:c>
      <x:c r="B363" s="21" t="str">
        <x:v>Talk</x:v>
      </x:c>
      <x:c r="C363" s="21" t="str">
        <x:v>World Model</x:v>
      </x:c>
      <x:c r="D363" s="17" t="str">
        <x:v>World Models</x:v>
      </x:c>
      <x:c r="E363" s="17" t="str">
        <x:v>Embodied AI; Robotics; World Models</x:v>
      </x:c>
      <x:c r="F363" s="22" t="str">
        <x:v>English</x:v>
      </x:c>
      <x:c r="G363" s="17" t="str">
        <x:v>Thomas Kipf - Do World Models need Objects? (NeSy 2025 Keynote)</x:v>
      </x:c>
      <x:c r="H363" s="17" t="str">
        <x:v>To be added</x:v>
      </x:c>
      <x:c r="I363" s="17" t="str">
        <x:v>NeSy conference</x:v>
      </x:c>
      <x:c r="J363" s="22" t="str">
        <x:v>Academic Talk</x:v>
      </x:c>
      <x:c r="K363" s="23" t="n">
        <x:v>62</x:v>
      </x:c>
      <x:c r="L363" s="16" t="str">
        <x:v>https://www.youtube.com/watch?v=xo3VMe2lHgs</x:v>
      </x:c>
      <x:c r="M363" s="21" t="str">
        <x:v>YouTube</x:v>
      </x:c>
      <x:c r="N363" s="24" t="n">
        <x:v>775</x:v>
      </x:c>
      <x:c r="O363" s="22" t="str">
        <x:v>B | University / Conference / Institution</x:v>
      </x:c>
      <x:c r="P363" s="22" t="str">
        <x:v>Recommended</x:v>
      </x:c>
      <x:c r="Q363" s="22" t="str">
        <x:v>Verified</x:v>
      </x:c>
      <x:c r="R363" s="25" t="n">
        <x:v>46244</x:v>
      </x:c>
      <x:c r="S363" s="17" t="str">
        <x:v>Targeted addition for the four priority areas; public YouTube result verified as accessible.</x:v>
      </x:c>
      <x:c r="T363" s="16" t="str">
        <x:v>xo3VMe2lHgs</x:v>
      </x:c>
    </x:row>
    <x:row r="364" ht="42" customHeight="1">
      <x:c r="A364" s="21" t="str">
        <x:v>ST-363</x:v>
      </x:c>
      <x:c r="B364" s="21" t="str">
        <x:v>Talk</x:v>
      </x:c>
      <x:c r="C364" s="21" t="str">
        <x:v>Agent</x:v>
      </x:c>
      <x:c r="D364" s="17" t="str">
        <x:v>Agents</x:v>
      </x:c>
      <x:c r="E364" s="17" t="str">
        <x:v>Agents; Multi-Agent Systems</x:v>
      </x:c>
      <x:c r="F364" s="22" t="str">
        <x:v>English</x:v>
      </x:c>
      <x:c r="G364" s="17" t="str">
        <x:v>OpenAI’s Sam Altman Talks ChatGPT, AI Agents and Superintelligence — Live at TED2025</x:v>
      </x:c>
      <x:c r="H364" s="17" t="str">
        <x:v>To be added</x:v>
      </x:c>
      <x:c r="I364" s="17" t="str">
        <x:v>TED</x:v>
      </x:c>
      <x:c r="J364" s="22" t="str">
        <x:v>Academic Talk</x:v>
      </x:c>
      <x:c r="K364" s="23" t="n">
        <x:v>48</x:v>
      </x:c>
      <x:c r="L364" s="16" t="str">
        <x:v>https://www.youtube.com/watch?v=5MWT_doo68k</x:v>
      </x:c>
      <x:c r="M364" s="21" t="str">
        <x:v>YouTube</x:v>
      </x:c>
      <x:c r="N364" s="24" t="n">
        <x:v>2339940</x:v>
      </x:c>
      <x:c r="O364" s="22" t="str">
        <x:v>A | Official / Original Creator / Organizer</x:v>
      </x:c>
      <x:c r="P364" s="22" t="str">
        <x:v>Core</x:v>
      </x:c>
      <x:c r="Q364" s="22" t="str">
        <x:v>Verified</x:v>
      </x:c>
      <x:c r="R364" s="25" t="n">
        <x:v>46244</x:v>
      </x:c>
      <x:c r="S364" s="17" t="str">
        <x:v>Targeted addition for the four priority areas; public YouTube result verified as accessible.</x:v>
      </x:c>
      <x:c r="T364" s="16" t="str">
        <x:v>5MWT_doo68k</x:v>
      </x:c>
    </x:row>
    <x:row r="365" ht="42" customHeight="1">
      <x:c r="A365" s="21" t="str">
        <x:v>ST-364</x:v>
      </x:c>
      <x:c r="B365" s="21" t="str">
        <x:v>Talk</x:v>
      </x:c>
      <x:c r="C365" s="21" t="str">
        <x:v>Agent</x:v>
      </x:c>
      <x:c r="D365" s="17" t="str">
        <x:v>Agents</x:v>
      </x:c>
      <x:c r="E365" s="17" t="str">
        <x:v>Agents; Multi-Agent Systems</x:v>
      </x:c>
      <x:c r="F365" s="22" t="str">
        <x:v>English</x:v>
      </x:c>
      <x:c r="G365" s="17" t="str">
        <x:v>AWS AI and Data Conference 2026 - Keynote: The Age of Agents | AWS Events</x:v>
      </x:c>
      <x:c r="H365" s="17" t="str">
        <x:v>To be added</x:v>
      </x:c>
      <x:c r="I365" s="17" t="str">
        <x:v>AWS Events</x:v>
      </x:c>
      <x:c r="J365" s="22" t="str">
        <x:v>Academic Talk</x:v>
      </x:c>
      <x:c r="K365" s="23" t="n">
        <x:v>72</x:v>
      </x:c>
      <x:c r="L365" s="16" t="str">
        <x:v>https://www.youtube.com/watch?v=YR6CDQXMdJs</x:v>
      </x:c>
      <x:c r="M365" s="21" t="str">
        <x:v>YouTube</x:v>
      </x:c>
      <x:c r="N365" s="24" t="n">
        <x:v>2027</x:v>
      </x:c>
      <x:c r="O365" s="22" t="str">
        <x:v>A | Official / Original Creator / Organizer</x:v>
      </x:c>
      <x:c r="P365" s="22" t="str">
        <x:v>Core</x:v>
      </x:c>
      <x:c r="Q365" s="22" t="str">
        <x:v>Verified</x:v>
      </x:c>
      <x:c r="R365" s="25" t="n">
        <x:v>46244</x:v>
      </x:c>
      <x:c r="S365" s="17" t="str">
        <x:v>Targeted addition for the four priority areas; public YouTube result verified as accessible.</x:v>
      </x:c>
      <x:c r="T365" s="16" t="str">
        <x:v>YR6CDQXMdJs</x:v>
      </x:c>
    </x:row>
    <x:row r="366" ht="42" customHeight="1">
      <x:c r="A366" s="21" t="str">
        <x:v>ST-365</x:v>
      </x:c>
      <x:c r="B366" s="21" t="str">
        <x:v>Talk</x:v>
      </x:c>
      <x:c r="C366" s="21" t="str">
        <x:v>Agent</x:v>
      </x:c>
      <x:c r="D366" s="17" t="str">
        <x:v>Agents</x:v>
      </x:c>
      <x:c r="E366" s="17" t="str">
        <x:v>Agents; Multi-Agent Systems</x:v>
      </x:c>
      <x:c r="F366" s="22" t="str">
        <x:v>English</x:v>
      </x:c>
      <x:c r="G366" s="17" t="str">
        <x:v>Welcome to Agentic Business | ServiceNow Knowledge 2026 Opening Keynote</x:v>
      </x:c>
      <x:c r="H366" s="17" t="str">
        <x:v>To be added</x:v>
      </x:c>
      <x:c r="I366" s="17" t="str">
        <x:v>ServiceNow</x:v>
      </x:c>
      <x:c r="J366" s="22" t="str">
        <x:v>Academic Talk</x:v>
      </x:c>
      <x:c r="K366" s="23" t="n">
        <x:v>86</x:v>
      </x:c>
      <x:c r="L366" s="16" t="str">
        <x:v>https://www.youtube.com/watch?v=jeo2V1w-Peg</x:v>
      </x:c>
      <x:c r="M366" s="21" t="str">
        <x:v>YouTube</x:v>
      </x:c>
      <x:c r="N366" s="24" t="n">
        <x:v>2565933</x:v>
      </x:c>
      <x:c r="O366" s="22" t="str">
        <x:v>C | Community Selection</x:v>
      </x:c>
      <x:c r="P366" s="22" t="str">
        <x:v>Reserve</x:v>
      </x:c>
      <x:c r="Q366" s="22" t="str">
        <x:v>Verified</x:v>
      </x:c>
      <x:c r="R366" s="25" t="n">
        <x:v>46244</x:v>
      </x:c>
      <x:c r="S366" s="17" t="str">
        <x:v>Targeted addition for the four priority areas; public YouTube result verified as accessible.</x:v>
      </x:c>
      <x:c r="T366" s="16" t="str">
        <x:v>jeo2V1w-Peg</x:v>
      </x:c>
    </x:row>
    <x:row r="367" ht="42" customHeight="1">
      <x:c r="A367" s="21" t="str">
        <x:v>ST-366</x:v>
      </x:c>
      <x:c r="B367" s="21" t="str">
        <x:v>Talk</x:v>
      </x:c>
      <x:c r="C367" s="21" t="str">
        <x:v>Agent</x:v>
      </x:c>
      <x:c r="D367" s="17" t="str">
        <x:v>Agents</x:v>
      </x:c>
      <x:c r="E367" s="17" t="str">
        <x:v>Agents; Multi-Agent Systems</x:v>
      </x:c>
      <x:c r="F367" s="22" t="str">
        <x:v>English</x:v>
      </x:c>
      <x:c r="G367" s="17" t="str">
        <x:v>Unlock the Power of Agentic Data | Tableau Conference 2026 Keynote Replay</x:v>
      </x:c>
      <x:c r="H367" s="17" t="str">
        <x:v>To be added</x:v>
      </x:c>
      <x:c r="I367" s="17" t="str">
        <x:v>Salesforce and Tableau</x:v>
      </x:c>
      <x:c r="J367" s="22" t="str">
        <x:v>Academic Talk</x:v>
      </x:c>
      <x:c r="K367" s="23" t="n">
        <x:v>70</x:v>
      </x:c>
      <x:c r="L367" s="16" t="str">
        <x:v>https://www.youtube.com/watch?v=yh4rmD9OXyY</x:v>
      </x:c>
      <x:c r="M367" s="21" t="str">
        <x:v>YouTube</x:v>
      </x:c>
      <x:c r="N367" s="24" t="n">
        <x:v>1188359</x:v>
      </x:c>
      <x:c r="O367" s="22" t="str">
        <x:v>C | Community Selection</x:v>
      </x:c>
      <x:c r="P367" s="22" t="str">
        <x:v>Reserve</x:v>
      </x:c>
      <x:c r="Q367" s="22" t="str">
        <x:v>Verified</x:v>
      </x:c>
      <x:c r="R367" s="25" t="n">
        <x:v>46244</x:v>
      </x:c>
      <x:c r="S367" s="17" t="str">
        <x:v>Targeted addition for the four priority areas; public YouTube result verified as accessible.</x:v>
      </x:c>
      <x:c r="T367" s="16" t="str">
        <x:v>yh4rmD9OXyY</x:v>
      </x:c>
    </x:row>
    <x:row r="368" ht="42" customHeight="1">
      <x:c r="A368" s="21" t="str">
        <x:v>ST-367</x:v>
      </x:c>
      <x:c r="B368" s="21" t="str">
        <x:v>Talk</x:v>
      </x:c>
      <x:c r="C368" s="21" t="str">
        <x:v>Agent</x:v>
      </x:c>
      <x:c r="D368" s="17" t="str">
        <x:v>Agents</x:v>
      </x:c>
      <x:c r="E368" s="17" t="str">
        <x:v>Agents; Multi-Agent Systems</x:v>
      </x:c>
      <x:c r="F368" s="22" t="str">
        <x:v>English</x:v>
      </x:c>
      <x:c r="G368" s="17" t="str">
        <x:v>Agents4Science 2025 Virtual Conference</x:v>
      </x:c>
      <x:c r="H368" s="17" t="str">
        <x:v>To be added</x:v>
      </x:c>
      <x:c r="I368" s="17" t="str">
        <x:v>Agents4Science</x:v>
      </x:c>
      <x:c r="J368" s="22" t="str">
        <x:v>Academic Talk</x:v>
      </x:c>
      <x:c r="K368" s="23" t="n">
        <x:v>199</x:v>
      </x:c>
      <x:c r="L368" s="16" t="str">
        <x:v>https://www.youtube.com/watch?v=7pXqAeedqOo</x:v>
      </x:c>
      <x:c r="M368" s="21" t="str">
        <x:v>YouTube</x:v>
      </x:c>
      <x:c r="N368" s="24" t="n">
        <x:v>4254</x:v>
      </x:c>
      <x:c r="O368" s="22" t="str">
        <x:v>A | Official / Original Creator / Organizer</x:v>
      </x:c>
      <x:c r="P368" s="22" t="str">
        <x:v>Core</x:v>
      </x:c>
      <x:c r="Q368" s="22" t="str">
        <x:v>Verified</x:v>
      </x:c>
      <x:c r="R368" s="25" t="n">
        <x:v>46244</x:v>
      </x:c>
      <x:c r="S368" s="17" t="str">
        <x:v>Targeted addition for the four priority areas; public YouTube result verified as accessible.</x:v>
      </x:c>
      <x:c r="T368" s="16" t="str">
        <x:v>7pXqAeedqOo</x:v>
      </x:c>
    </x:row>
    <x:row r="369" ht="42" customHeight="1">
      <x:c r="A369" s="21" t="str">
        <x:v>ST-368</x:v>
      </x:c>
      <x:c r="B369" s="21" t="str">
        <x:v>Talk</x:v>
      </x:c>
      <x:c r="C369" s="21" t="str">
        <x:v>Vision</x:v>
      </x:c>
      <x:c r="D369" s="17" t="str">
        <x:v>Vision</x:v>
      </x:c>
      <x:c r="E369" s="17" t="str">
        <x:v>Vision</x:v>
      </x:c>
      <x:c r="F369" s="22" t="str">
        <x:v>English</x:v>
      </x:c>
      <x:c r="G369" s="17" t="str">
        <x:v>Ayellet Tal | Past Forward: When Computer Vision &amp; Archaeology Meet | Talks at Google</x:v>
      </x:c>
      <x:c r="H369" s="17" t="str">
        <x:v>To be added</x:v>
      </x:c>
      <x:c r="I369" s="17" t="str">
        <x:v>Talks at Google</x:v>
      </x:c>
      <x:c r="J369" s="22" t="str">
        <x:v>Academic Talk</x:v>
      </x:c>
      <x:c r="K369" s="23" t="n">
        <x:v>62</x:v>
      </x:c>
      <x:c r="L369" s="16" t="str">
        <x:v>https://www.youtube.com/watch?v=QTcElS-9lhg</x:v>
      </x:c>
      <x:c r="M369" s="21" t="str">
        <x:v>YouTube</x:v>
      </x:c>
      <x:c r="N369" s="24" t="n">
        <x:v>3528</x:v>
      </x:c>
      <x:c r="O369" s="22" t="str">
        <x:v>A | Official / Original Creator / Organizer</x:v>
      </x:c>
      <x:c r="P369" s="22" t="str">
        <x:v>Core</x:v>
      </x:c>
      <x:c r="Q369" s="22" t="str">
        <x:v>Verified</x:v>
      </x:c>
      <x:c r="R369" s="25" t="n">
        <x:v>46244</x:v>
      </x:c>
      <x:c r="S369" s="17" t="str">
        <x:v>Targeted addition for the four priority areas; public YouTube result verified as accessible.</x:v>
      </x:c>
      <x:c r="T369" s="16" t="str">
        <x:v>QTcElS-9lhg</x:v>
      </x:c>
    </x:row>
    <x:row r="370" ht="42" customHeight="1">
      <x:c r="A370" s="21" t="str">
        <x:v>ST-369</x:v>
      </x:c>
      <x:c r="B370" s="21" t="str">
        <x:v>Talk</x:v>
      </x:c>
      <x:c r="C370" s="21" t="str">
        <x:v>Vision</x:v>
      </x:c>
      <x:c r="D370" s="17" t="str">
        <x:v>Vision</x:v>
      </x:c>
      <x:c r="E370" s="17" t="str">
        <x:v>Vision</x:v>
      </x:c>
      <x:c r="F370" s="22" t="str">
        <x:v>English</x:v>
      </x:c>
      <x:c r="G370" s="17" t="str">
        <x:v>Computer Vision Talk With Madhav Humagain | Geek Mic | S01E02</x:v>
      </x:c>
      <x:c r="H370" s="17" t="str">
        <x:v>To be added</x:v>
      </x:c>
      <x:c r="I370" s="17" t="str">
        <x:v>Geek Mic</x:v>
      </x:c>
      <x:c r="J370" s="22" t="str">
        <x:v>Academic Talk</x:v>
      </x:c>
      <x:c r="K370" s="23" t="n">
        <x:v>27</x:v>
      </x:c>
      <x:c r="L370" s="16" t="str">
        <x:v>https://www.youtube.com/watch?v=ZcnuH0LIpeo</x:v>
      </x:c>
      <x:c r="M370" s="21" t="str">
        <x:v>YouTube</x:v>
      </x:c>
      <x:c r="N370" s="24" t="n">
        <x:v>1764</x:v>
      </x:c>
      <x:c r="O370" s="22" t="str">
        <x:v>C | Community Selection</x:v>
      </x:c>
      <x:c r="P370" s="22" t="str">
        <x:v>Reserve</x:v>
      </x:c>
      <x:c r="Q370" s="22" t="str">
        <x:v>Verified</x:v>
      </x:c>
      <x:c r="R370" s="25" t="n">
        <x:v>46244</x:v>
      </x:c>
      <x:c r="S370" s="17" t="str">
        <x:v>Targeted addition for the four priority areas; public YouTube result verified as accessible.</x:v>
      </x:c>
      <x:c r="T370" s="16" t="str">
        <x:v>ZcnuH0LIpeo</x:v>
      </x:c>
    </x:row>
    <x:row r="371" ht="42" customHeight="1">
      <x:c r="A371" s="21" t="str">
        <x:v>ST-370</x:v>
      </x:c>
      <x:c r="B371" s="21" t="str">
        <x:v>Talk</x:v>
      </x:c>
      <x:c r="C371" s="21" t="str">
        <x:v>Vision</x:v>
      </x:c>
      <x:c r="D371" s="17" t="str">
        <x:v>Vision</x:v>
      </x:c>
      <x:c r="E371" s="17" t="str">
        <x:v>Vision</x:v>
      </x:c>
      <x:c r="F371" s="22" t="str">
        <x:v>English</x:v>
      </x:c>
      <x:c r="G371" s="17" t="str">
        <x:v>Fundamentals of Computer Vision Explained by a Lead ML Engineer | UChicago Data Science Seminar</x:v>
      </x:c>
      <x:c r="H371" s="17" t="str">
        <x:v>To be added</x:v>
      </x:c>
      <x:c r="I371" s="17" t="str">
        <x:v>UChicago Data Science Institute</x:v>
      </x:c>
      <x:c r="J371" s="22" t="str">
        <x:v>Academic Talk</x:v>
      </x:c>
      <x:c r="K371" s="23" t="n">
        <x:v>58</x:v>
      </x:c>
      <x:c r="L371" s="16" t="str">
        <x:v>https://www.youtube.com/watch?v=yanhbjA3kls</x:v>
      </x:c>
      <x:c r="M371" s="21" t="str">
        <x:v>YouTube</x:v>
      </x:c>
      <x:c r="N371" s="24" t="n">
        <x:v>331</x:v>
      </x:c>
      <x:c r="O371" s="22" t="str">
        <x:v>B | University / Conference / Institution</x:v>
      </x:c>
      <x:c r="P371" s="22" t="str">
        <x:v>Recommended</x:v>
      </x:c>
      <x:c r="Q371" s="22" t="str">
        <x:v>Verified</x:v>
      </x:c>
      <x:c r="R371" s="25" t="n">
        <x:v>46244</x:v>
      </x:c>
      <x:c r="S371" s="17" t="str">
        <x:v>Targeted addition for the four priority areas; public YouTube result verified as accessible.</x:v>
      </x:c>
      <x:c r="T371" s="16" t="str">
        <x:v>yanhbjA3kls</x:v>
      </x:c>
    </x:row>
    <x:row r="372" ht="42" customHeight="1">
      <x:c r="A372" s="21" t="str">
        <x:v>ST-371</x:v>
      </x:c>
      <x:c r="B372" s="21" t="str">
        <x:v>Talk</x:v>
      </x:c>
      <x:c r="C372" s="21" t="str">
        <x:v>Vision</x:v>
      </x:c>
      <x:c r="D372" s="17" t="str">
        <x:v>Vision</x:v>
      </x:c>
      <x:c r="E372" s="17" t="str">
        <x:v>Vision</x:v>
      </x:c>
      <x:c r="F372" s="22" t="str">
        <x:v>English</x:v>
      </x:c>
      <x:c r="G372" s="17" t="str">
        <x:v>Keynote talk given by Prof. James Hays on 4th CVPR VOCVALC workshop</x:v>
      </x:c>
      <x:c r="H372" s="17" t="str">
        <x:v>To be added</x:v>
      </x:c>
      <x:c r="I372" s="17" t="str">
        <x:v>Intelligent Vision and Sensing Lab</x:v>
      </x:c>
      <x:c r="J372" s="22" t="str">
        <x:v>Academic Talk</x:v>
      </x:c>
      <x:c r="K372" s="23" t="n">
        <x:v>38</x:v>
      </x:c>
      <x:c r="L372" s="16" t="str">
        <x:v>https://www.youtube.com/watch?v=prC9MJNZmTI</x:v>
      </x:c>
      <x:c r="M372" s="21" t="str">
        <x:v>YouTube</x:v>
      </x:c>
      <x:c r="N372" s="24" t="n">
        <x:v>103</x:v>
      </x:c>
      <x:c r="O372" s="22" t="str">
        <x:v>B | University / Conference / Institution</x:v>
      </x:c>
      <x:c r="P372" s="22" t="str">
        <x:v>Recommended</x:v>
      </x:c>
      <x:c r="Q372" s="22" t="str">
        <x:v>Verified</x:v>
      </x:c>
      <x:c r="R372" s="25" t="n">
        <x:v>46244</x:v>
      </x:c>
      <x:c r="S372" s="17" t="str">
        <x:v>Targeted addition for the four priority areas; public YouTube result verified as accessible.</x:v>
      </x:c>
      <x:c r="T372" s="16" t="str">
        <x:v>prC9MJNZmTI</x:v>
      </x:c>
    </x:row>
    <x:row r="373" ht="42" customHeight="1">
      <x:c r="A373" s="21" t="str">
        <x:v>ST-372</x:v>
      </x:c>
      <x:c r="B373" s="21" t="str">
        <x:v>Talk</x:v>
      </x:c>
      <x:c r="C373" s="21" t="str">
        <x:v>Vision</x:v>
      </x:c>
      <x:c r="D373" s="17" t="str">
        <x:v>Vision</x:v>
      </x:c>
      <x:c r="E373" s="17" t="str">
        <x:v>Vision</x:v>
      </x:c>
      <x:c r="F373" s="22" t="str">
        <x:v>English</x:v>
      </x:c>
      <x:c r="G373" s="17" t="str">
        <x:v>Keynote talk given by Prof. Daniel Cremers on 4th CVPR VOCVALC workshop.</x:v>
      </x:c>
      <x:c r="H373" s="17" t="str">
        <x:v>To be added</x:v>
      </x:c>
      <x:c r="I373" s="17" t="str">
        <x:v>Intelligent Vision and Sensing Lab</x:v>
      </x:c>
      <x:c r="J373" s="22" t="str">
        <x:v>Academic Talk</x:v>
      </x:c>
      <x:c r="K373" s="23" t="n">
        <x:v>46</x:v>
      </x:c>
      <x:c r="L373" s="16" t="str">
        <x:v>https://www.youtube.com/watch?v=RTspF8gxJDE</x:v>
      </x:c>
      <x:c r="M373" s="21" t="str">
        <x:v>YouTube</x:v>
      </x:c>
      <x:c r="N373" s="24" t="n">
        <x:v>106</x:v>
      </x:c>
      <x:c r="O373" s="22" t="str">
        <x:v>B | University / Conference / Institution</x:v>
      </x:c>
      <x:c r="P373" s="22" t="str">
        <x:v>Recommended</x:v>
      </x:c>
      <x:c r="Q373" s="22" t="str">
        <x:v>Verified</x:v>
      </x:c>
      <x:c r="R373" s="25" t="n">
        <x:v>46244</x:v>
      </x:c>
      <x:c r="S373" s="17" t="str">
        <x:v>Targeted addition for the four priority areas; public YouTube result verified as accessible.</x:v>
      </x:c>
      <x:c r="T373" s="16" t="str">
        <x:v>RTspF8gxJDE</x:v>
      </x:c>
    </x:row>
    <x:row r="374" ht="42" customHeight="1">
      <x:c r="A374" s="21" t="str">
        <x:v>ST-373</x:v>
      </x:c>
      <x:c r="B374" s="21" t="str">
        <x:v>Talk</x:v>
      </x:c>
      <x:c r="C374" s="21" t="str">
        <x:v>Vision</x:v>
      </x:c>
      <x:c r="D374" s="17" t="str">
        <x:v>Vision</x:v>
      </x:c>
      <x:c r="E374" s="17" t="str">
        <x:v>Vision</x:v>
      </x:c>
      <x:c r="F374" s="22" t="str">
        <x:v>English</x:v>
      </x:c>
      <x:c r="G374" s="17" t="str">
        <x:v>Prof. Torsten Sattler's keynote talk on 4th CVPR VOCVALC workshop</x:v>
      </x:c>
      <x:c r="H374" s="17" t="str">
        <x:v>To be added</x:v>
      </x:c>
      <x:c r="I374" s="17" t="str">
        <x:v>Intelligent Vision and Sensing Lab</x:v>
      </x:c>
      <x:c r="J374" s="22" t="str">
        <x:v>Academic Talk</x:v>
      </x:c>
      <x:c r="K374" s="23" t="n">
        <x:v>40</x:v>
      </x:c>
      <x:c r="L374" s="16" t="str">
        <x:v>https://www.youtube.com/watch?v=6eaGjvwzCfI</x:v>
      </x:c>
      <x:c r="M374" s="21" t="str">
        <x:v>YouTube</x:v>
      </x:c>
      <x:c r="N374" s="24" t="n">
        <x:v>65</x:v>
      </x:c>
      <x:c r="O374" s="22" t="str">
        <x:v>B | University / Conference / Institution</x:v>
      </x:c>
      <x:c r="P374" s="22" t="str">
        <x:v>Recommended</x:v>
      </x:c>
      <x:c r="Q374" s="22" t="str">
        <x:v>Verified</x:v>
      </x:c>
      <x:c r="R374" s="25" t="n">
        <x:v>46244</x:v>
      </x:c>
      <x:c r="S374" s="17" t="str">
        <x:v>Targeted addition for the four priority areas; public YouTube result verified as accessible.</x:v>
      </x:c>
      <x:c r="T374" s="16" t="str">
        <x:v>6eaGjvwzCfI</x:v>
      </x:c>
    </x:row>
    <x:row r="375" ht="42" customHeight="1">
      <x:c r="A375" s="21" t="str">
        <x:v>ST-374</x:v>
      </x:c>
      <x:c r="B375" s="21" t="str">
        <x:v>Talk</x:v>
      </x:c>
      <x:c r="C375" s="21" t="str">
        <x:v>Robotics</x:v>
      </x:c>
      <x:c r="D375" s="17" t="str">
        <x:v>Robotics</x:v>
      </x:c>
      <x:c r="E375" s="17" t="str">
        <x:v>Robotics</x:v>
      </x:c>
      <x:c r="F375" s="22" t="str">
        <x:v>English</x:v>
      </x:c>
      <x:c r="G375" s="17" t="str">
        <x:v>Stanford Robotics Seminar ENGR319 | Spring 2026 | Robot Learning from Human Experience</x:v>
      </x:c>
      <x:c r="H375" s="17" t="str">
        <x:v>To be added</x:v>
      </x:c>
      <x:c r="I375" s="17" t="str">
        <x:v>Stanford Online</x:v>
      </x:c>
      <x:c r="J375" s="22" t="str">
        <x:v>Academic Talk</x:v>
      </x:c>
      <x:c r="K375" s="23" t="n">
        <x:v>69</x:v>
      </x:c>
      <x:c r="L375" s="16" t="str">
        <x:v>https://www.youtube.com/watch?v=NUtaN10cVDc</x:v>
      </x:c>
      <x:c r="M375" s="21" t="str">
        <x:v>YouTube</x:v>
      </x:c>
      <x:c r="N375" s="24" t="n">
        <x:v>12851</x:v>
      </x:c>
      <x:c r="O375" s="22" t="str">
        <x:v>A | Official / Original Creator / Organizer</x:v>
      </x:c>
      <x:c r="P375" s="22" t="str">
        <x:v>Core</x:v>
      </x:c>
      <x:c r="Q375" s="22" t="str">
        <x:v>Verified</x:v>
      </x:c>
      <x:c r="R375" s="25" t="n">
        <x:v>46244</x:v>
      </x:c>
      <x:c r="S375" s="17" t="str">
        <x:v>Targeted addition for the four priority areas; public YouTube result verified as accessible.</x:v>
      </x:c>
      <x:c r="T375" s="16" t="str">
        <x:v>NUtaN10cVDc</x:v>
      </x:c>
    </x:row>
    <x:row r="376" ht="42" customHeight="1">
      <x:c r="A376" s="21" t="str">
        <x:v>ST-375</x:v>
      </x:c>
      <x:c r="B376" s="21" t="str">
        <x:v>Talk</x:v>
      </x:c>
      <x:c r="C376" s="21" t="str">
        <x:v>Robotics</x:v>
      </x:c>
      <x:c r="D376" s="17" t="str">
        <x:v>Robotics</x:v>
      </x:c>
      <x:c r="E376" s="17" t="str">
        <x:v>Robotics</x:v>
      </x:c>
      <x:c r="F376" s="22" t="str">
        <x:v>English</x:v>
      </x:c>
      <x:c r="G376" s="17" t="str">
        <x:v>Stanford Robotics Seminar ENGR319 | Winter 2026 | 𝚿0: An Open Foundation Model</x:v>
      </x:c>
      <x:c r="H376" s="17" t="str">
        <x:v>To be added</x:v>
      </x:c>
      <x:c r="I376" s="17" t="str">
        <x:v>Stanford Online</x:v>
      </x:c>
      <x:c r="J376" s="22" t="str">
        <x:v>Academic Talk</x:v>
      </x:c>
      <x:c r="K376" s="23" t="n">
        <x:v>64</x:v>
      </x:c>
      <x:c r="L376" s="16" t="str">
        <x:v>https://www.youtube.com/watch?v=popjDuA-whA</x:v>
      </x:c>
      <x:c r="M376" s="21" t="str">
        <x:v>YouTube</x:v>
      </x:c>
      <x:c r="N376" s="24" t="n">
        <x:v>18240</x:v>
      </x:c>
      <x:c r="O376" s="22" t="str">
        <x:v>A | Official / Original Creator / Organizer</x:v>
      </x:c>
      <x:c r="P376" s="22" t="str">
        <x:v>Core</x:v>
      </x:c>
      <x:c r="Q376" s="22" t="str">
        <x:v>Verified</x:v>
      </x:c>
      <x:c r="R376" s="25" t="n">
        <x:v>46244</x:v>
      </x:c>
      <x:c r="S376" s="17" t="str">
        <x:v>Targeted addition for the four priority areas; public YouTube result verified as accessible.</x:v>
      </x:c>
      <x:c r="T376" s="16" t="str">
        <x:v>popjDuA-whA</x:v>
      </x:c>
    </x:row>
    <x:row r="377" ht="42" customHeight="1">
      <x:c r="A377" s="21" t="str">
        <x:v>ST-376</x:v>
      </x:c>
      <x:c r="B377" s="21" t="str">
        <x:v>Talk</x:v>
      </x:c>
      <x:c r="C377" s="21" t="str">
        <x:v>Robotics</x:v>
      </x:c>
      <x:c r="D377" s="17" t="str">
        <x:v>Robotics</x:v>
      </x:c>
      <x:c r="E377" s="17" t="str">
        <x:v>Robotics</x:v>
      </x:c>
      <x:c r="F377" s="22" t="str">
        <x:v>English</x:v>
      </x:c>
      <x:c r="G377" s="17" t="str">
        <x:v>RI Seminar: Max Simchowitz: Generative Control, Action Chunking, and Moravec’s Paradox</x:v>
      </x:c>
      <x:c r="H377" s="17" t="str">
        <x:v>To be added</x:v>
      </x:c>
      <x:c r="I377" s="17" t="str">
        <x:v>CMU Robotics Institute</x:v>
      </x:c>
      <x:c r="J377" s="22" t="str">
        <x:v>Academic Talk</x:v>
      </x:c>
      <x:c r="K377" s="23" t="n">
        <x:v>57</x:v>
      </x:c>
      <x:c r="L377" s="16" t="str">
        <x:v>https://www.youtube.com/watch?v=UX1YXcRnFbs</x:v>
      </x:c>
      <x:c r="M377" s="21" t="str">
        <x:v>YouTube</x:v>
      </x:c>
      <x:c r="N377" s="24" t="n">
        <x:v>27380</x:v>
      </x:c>
      <x:c r="O377" s="22" t="str">
        <x:v>A | Official / Original Creator / Organizer</x:v>
      </x:c>
      <x:c r="P377" s="22" t="str">
        <x:v>Core</x:v>
      </x:c>
      <x:c r="Q377" s="22" t="str">
        <x:v>Verified</x:v>
      </x:c>
      <x:c r="R377" s="25" t="n">
        <x:v>46244</x:v>
      </x:c>
      <x:c r="S377" s="17" t="str">
        <x:v>Targeted addition for the four priority areas; public YouTube result verified as accessible.</x:v>
      </x:c>
      <x:c r="T377" s="16" t="str">
        <x:v>UX1YXcRnFbs</x:v>
      </x:c>
    </x:row>
    <x:row r="378" ht="42" customHeight="1">
      <x:c r="A378" s="21" t="str">
        <x:v>ST-377</x:v>
      </x:c>
      <x:c r="B378" s="21" t="str">
        <x:v>Talk</x:v>
      </x:c>
      <x:c r="C378" s="21" t="str">
        <x:v>Robotics</x:v>
      </x:c>
      <x:c r="D378" s="17" t="str">
        <x:v>Robotics</x:v>
      </x:c>
      <x:c r="E378" s="17" t="str">
        <x:v>Agents; Multi-Agent Systems</x:v>
      </x:c>
      <x:c r="F378" s="22" t="str">
        <x:v>English</x:v>
      </x:c>
      <x:c r="G378" s="17" t="str">
        <x:v>Jensen Huang Delivers Keynote at CES, Reveals the Rise of Agentic AI, Open Models, Physical AI |AI1N</x:v>
      </x:c>
      <x:c r="H378" s="17" t="str">
        <x:v>To be added</x:v>
      </x:c>
      <x:c r="I378" s="17" t="str">
        <x:v>DRM News</x:v>
      </x:c>
      <x:c r="J378" s="22" t="str">
        <x:v>Academic Talk</x:v>
      </x:c>
      <x:c r="K378" s="23" t="n">
        <x:v>16</x:v>
      </x:c>
      <x:c r="L378" s="16" t="str">
        <x:v>https://www.youtube.com/watch?v=a7nqkc8zgR8</x:v>
      </x:c>
      <x:c r="M378" s="21" t="str">
        <x:v>YouTube</x:v>
      </x:c>
      <x:c r="N378" s="24" t="n">
        <x:v>19613</x:v>
      </x:c>
      <x:c r="O378" s="22" t="str">
        <x:v>C | Community Selection</x:v>
      </x:c>
      <x:c r="P378" s="22" t="str">
        <x:v>Reserve</x:v>
      </x:c>
      <x:c r="Q378" s="22" t="str">
        <x:v>Verified</x:v>
      </x:c>
      <x:c r="R378" s="25" t="n">
        <x:v>46244</x:v>
      </x:c>
      <x:c r="S378" s="17" t="str">
        <x:v>Targeted addition for the four priority areas; public YouTube result verified as accessible.</x:v>
      </x:c>
      <x:c r="T378" s="16" t="str">
        <x:v>a7nqkc8zgR8</x:v>
      </x:c>
    </x:row>
    <x:row r="379" ht="42" customHeight="1">
      <x:c r="A379" s="21" t="str">
        <x:v>ST-378</x:v>
      </x:c>
      <x:c r="B379" s="21" t="str">
        <x:v>Talk</x:v>
      </x:c>
      <x:c r="C379" s="21" t="str">
        <x:v>Robotics</x:v>
      </x:c>
      <x:c r="D379" s="17" t="str">
        <x:v>Robotics</x:v>
      </x:c>
      <x:c r="E379" s="17" t="str">
        <x:v>Robotics</x:v>
      </x:c>
      <x:c r="F379" s="22" t="str">
        <x:v>English</x:v>
      </x:c>
      <x:c r="G379" s="17" t="str">
        <x:v>Raquel Urtasun | CVPR 2020 Embodied AI Workshop Talk</x:v>
      </x:c>
      <x:c r="H379" s="17" t="str">
        <x:v>To be added</x:v>
      </x:c>
      <x:c r="I379" s="17" t="str">
        <x:v>Embodied AI</x:v>
      </x:c>
      <x:c r="J379" s="22" t="str">
        <x:v>Academic Talk</x:v>
      </x:c>
      <x:c r="K379" s="23" t="n">
        <x:v>31</x:v>
      </x:c>
      <x:c r="L379" s="16" t="str">
        <x:v>https://www.youtube.com/watch?v=7GIUBS-TEa0</x:v>
      </x:c>
      <x:c r="M379" s="21" t="str">
        <x:v>YouTube</x:v>
      </x:c>
      <x:c r="N379" s="24" t="n">
        <x:v>1960</x:v>
      </x:c>
      <x:c r="O379" s="22" t="str">
        <x:v>C | Community Selection</x:v>
      </x:c>
      <x:c r="P379" s="22" t="str">
        <x:v>Reserve</x:v>
      </x:c>
      <x:c r="Q379" s="22" t="str">
        <x:v>Verified</x:v>
      </x:c>
      <x:c r="R379" s="25" t="n">
        <x:v>46244</x:v>
      </x:c>
      <x:c r="S379" s="17" t="str">
        <x:v>Targeted addition for the four priority areas; public YouTube result verified as accessible.</x:v>
      </x:c>
      <x:c r="T379" s="16" t="str">
        <x:v>7GIUBS-TEa0</x:v>
      </x:c>
    </x:row>
    <x:row r="380" ht="42" customHeight="1">
      <x:c r="A380" s="21" t="str">
        <x:v>ST-379</x:v>
      </x:c>
      <x:c r="B380" s="21" t="str">
        <x:v>Talk</x:v>
      </x:c>
      <x:c r="C380" s="21" t="str">
        <x:v>Robotics</x:v>
      </x:c>
      <x:c r="D380" s="17" t="str">
        <x:v>Robotics</x:v>
      </x:c>
      <x:c r="E380" s="17" t="str">
        <x:v>AI for Science</x:v>
      </x:c>
      <x:c r="F380" s="22" t="str">
        <x:v>English</x:v>
      </x:c>
      <x:c r="G380" s="17" t="str">
        <x:v>Ray Summit 2025 Keynote: Physical AI Turing Test with Jim Fan from NVIDIA</x:v>
      </x:c>
      <x:c r="H380" s="17" t="str">
        <x:v>To be added</x:v>
      </x:c>
      <x:c r="I380" s="17" t="str">
        <x:v>Anyscale</x:v>
      </x:c>
      <x:c r="J380" s="22" t="str">
        <x:v>Academic Talk</x:v>
      </x:c>
      <x:c r="K380" s="23" t="n">
        <x:v>20</x:v>
      </x:c>
      <x:c r="L380" s="16" t="str">
        <x:v>https://www.youtube.com/watch?v=7fDiui8cAVQ</x:v>
      </x:c>
      <x:c r="M380" s="21" t="str">
        <x:v>YouTube</x:v>
      </x:c>
      <x:c r="N380" s="24" t="n">
        <x:v>2162</x:v>
      </x:c>
      <x:c r="O380" s="22" t="str">
        <x:v>C | Community Selection</x:v>
      </x:c>
      <x:c r="P380" s="22" t="str">
        <x:v>Reserve</x:v>
      </x:c>
      <x:c r="Q380" s="22" t="str">
        <x:v>Verified</x:v>
      </x:c>
      <x:c r="R380" s="25" t="n">
        <x:v>46244</x:v>
      </x:c>
      <x:c r="S380" s="17" t="str">
        <x:v>Targeted addition for the four priority areas; public YouTube result verified as accessible.</x:v>
      </x:c>
      <x:c r="T380" s="16" t="str">
        <x:v>7fDiui8cAVQ</x:v>
      </x:c>
    </x:row>
    <x:row r="381" ht="42" customHeight="1">
      <x:c r="A381" s="21" t="str">
        <x:v>ST-380</x:v>
      </x:c>
      <x:c r="B381" s="21" t="str">
        <x:v>Interview</x:v>
      </x:c>
      <x:c r="C381" s="21" t="str">
        <x:v>Robotics</x:v>
      </x:c>
      <x:c r="D381" s="17" t="str">
        <x:v>Robotics / Embodied AI</x:v>
      </x:c>
      <x:c r="E381" s="17" t="str">
        <x:v>Robot Learning / Embodied AI / Control</x:v>
      </x:c>
      <x:c r="F381" s="22" t="str">
        <x:v>English</x:v>
      </x:c>
      <x:c r="G381" s="17" t="str">
        <x:v>Russ Tedrake: Underactuated Robotics, Control, Dynamics and Touch | Lex Fridman Podcast #114</x:v>
      </x:c>
      <x:c r="H381" s="17" t="str">
        <x:v>Russ Tedrake</x:v>
      </x:c>
      <x:c r="I381" s="17" t="str">
        <x:v>Lex Fridman</x:v>
      </x:c>
      <x:c r="J381" s="22" t="str">
        <x:v>Podcast Interview</x:v>
      </x:c>
      <x:c r="K381" s="23" t="n">
        <x:v>169</x:v>
      </x:c>
      <x:c r="L381" s="16" t="str">
        <x:v>https://www.youtube.com/watch?v=A22Ej6kb2wo</x:v>
      </x:c>
      <x:c r="M381" s="21" t="str">
        <x:v>YouTube</x:v>
      </x:c>
      <x:c r="N381" s="24" t="n">
        <x:v>191105</x:v>
      </x:c>
      <x:c r="O381" s="22" t="str">
        <x:v>B | University / Conference / Institution</x:v>
      </x:c>
      <x:c r="P381" s="22" t="str">
        <x:v>Recommended</x:v>
      </x:c>
      <x:c r="Q381" s="22" t="str">
        <x:v>Verified</x:v>
      </x:c>
      <x:c r="R381" s="25" t="n">
        <x:v>46246</x:v>
      </x:c>
      <x:c r="S381" s="17" t="str">
        <x:v>Curated in the targeted ScholarTube expansion; public metadata accessible and editorially reviewed.</x:v>
      </x:c>
      <x:c r="T381" s="16" t="str">
        <x:v>A22Ej6kb2wo</x:v>
      </x:c>
    </x:row>
    <x:row r="382" ht="42" customHeight="1">
      <x:c r="A382" s="21" t="str">
        <x:v>ST-381</x:v>
      </x:c>
      <x:c r="B382" s="21" t="str">
        <x:v>Interview</x:v>
      </x:c>
      <x:c r="C382" s="21" t="str">
        <x:v>Robotics</x:v>
      </x:c>
      <x:c r="D382" s="17" t="str">
        <x:v>Robotics / Embodied AI</x:v>
      </x:c>
      <x:c r="E382" s="17" t="str">
        <x:v>Robot Learning / Embodied AI / Control</x:v>
      </x:c>
      <x:c r="F382" s="22" t="str">
        <x:v>English</x:v>
      </x:c>
      <x:c r="G382" s="17" t="str">
        <x:v>Sergey Levine: Robotics and Machine Learning | Lex Fridman Podcast #108</x:v>
      </x:c>
      <x:c r="H382" s="17" t="str">
        <x:v>Sergey Levine</x:v>
      </x:c>
      <x:c r="I382" s="17" t="str">
        <x:v>Lex Fridman</x:v>
      </x:c>
      <x:c r="J382" s="22" t="str">
        <x:v>Podcast Interview</x:v>
      </x:c>
      <x:c r="K382" s="23" t="n">
        <x:v>98</x:v>
      </x:c>
      <x:c r="L382" s="16" t="str">
        <x:v>https://www.youtube.com/watch?v=kxi-_TT_-Nc</x:v>
      </x:c>
      <x:c r="M382" s="21" t="str">
        <x:v>YouTube</x:v>
      </x:c>
      <x:c r="N382" s="24" t="n">
        <x:v>173458</x:v>
      </x:c>
      <x:c r="O382" s="22" t="str">
        <x:v>B | University / Conference / Institution</x:v>
      </x:c>
      <x:c r="P382" s="22" t="str">
        <x:v>Recommended</x:v>
      </x:c>
      <x:c r="Q382" s="22" t="str">
        <x:v>Verified</x:v>
      </x:c>
      <x:c r="R382" s="25" t="n">
        <x:v>46246</x:v>
      </x:c>
      <x:c r="S382" s="17" t="str">
        <x:v>Curated in the targeted ScholarTube expansion; public metadata accessible and editorially reviewed.</x:v>
      </x:c>
      <x:c r="T382" s="16" t="str">
        <x:v>kxi-_TT_-Nc</x:v>
      </x:c>
    </x:row>
    <x:row r="383" ht="42" customHeight="1">
      <x:c r="A383" s="21" t="str">
        <x:v>ST-382</x:v>
      </x:c>
      <x:c r="B383" s="21" t="str">
        <x:v>Talk</x:v>
      </x:c>
      <x:c r="C383" s="21" t="str">
        <x:v>Robotics</x:v>
      </x:c>
      <x:c r="D383" s="17" t="str">
        <x:v>Robotics / Embodied AI</x:v>
      </x:c>
      <x:c r="E383" s="17" t="str">
        <x:v>Robot Learning / Embodied AI / Control</x:v>
      </x:c>
      <x:c r="F383" s="22" t="str">
        <x:v>English</x:v>
      </x:c>
      <x:c r="G383" s="17" t="str">
        <x:v>Stanford Seminar - Multitask Transfer in TRI’s Large Behavior Models for Dexterous Manipulation</x:v>
      </x:c>
      <x:c r="H383" s="17" t="str">
        <x:v>Russ Tedrake</x:v>
      </x:c>
      <x:c r="I383" s="17" t="str">
        <x:v>Stanford Online</x:v>
      </x:c>
      <x:c r="J383" s="22" t="str">
        <x:v>Academic Talk / Research Seminar</x:v>
      </x:c>
      <x:c r="K383" s="23" t="n">
        <x:v>82</x:v>
      </x:c>
      <x:c r="L383" s="16" t="str">
        <x:v>https://www.youtube.com/watch?v=TN1M6vg4CsQ</x:v>
      </x:c>
      <x:c r="M383" s="21" t="str">
        <x:v>YouTube</x:v>
      </x:c>
      <x:c r="N383" s="24" t="n">
        <x:v>25236</x:v>
      </x:c>
      <x:c r="O383" s="22" t="str">
        <x:v>A | Official / Original Creator / Organizer</x:v>
      </x:c>
      <x:c r="P383" s="22" t="str">
        <x:v>Core</x:v>
      </x:c>
      <x:c r="Q383" s="22" t="str">
        <x:v>Verified</x:v>
      </x:c>
      <x:c r="R383" s="25" t="n">
        <x:v>46246</x:v>
      </x:c>
      <x:c r="S383" s="17" t="str">
        <x:v>Curated in the targeted ScholarTube expansion; official institution, conference, lab, course, or creator source.</x:v>
      </x:c>
      <x:c r="T383" s="16" t="str">
        <x:v>TN1M6vg4CsQ</x:v>
      </x:c>
    </x:row>
    <x:row r="384" ht="42" customHeight="1">
      <x:c r="A384" s="21" t="str">
        <x:v>ST-383</x:v>
      </x:c>
      <x:c r="B384" s="21" t="str">
        <x:v>Talk</x:v>
      </x:c>
      <x:c r="C384" s="21" t="str">
        <x:v>Robotics</x:v>
      </x:c>
      <x:c r="D384" s="17" t="str">
        <x:v>Robotics / Embodied AI</x:v>
      </x:c>
      <x:c r="E384" s="17" t="str">
        <x:v>Robot Learning / Embodied AI / Control</x:v>
      </x:c>
      <x:c r="F384" s="22" t="str">
        <x:v>English</x:v>
      </x:c>
      <x:c r="G384" s="17" t="str">
        <x:v>Stanford Webinar - The Frontier of Deep Learning for Robotics, Chelsea Finn</x:v>
      </x:c>
      <x:c r="H384" s="17" t="str">
        <x:v>Chelsea Finn</x:v>
      </x:c>
      <x:c r="I384" s="17" t="str">
        <x:v>Stanford Online</x:v>
      </x:c>
      <x:c r="J384" s="22" t="str">
        <x:v>Academic Talk / Research Seminar</x:v>
      </x:c>
      <x:c r="K384" s="23" t="n">
        <x:v>52</x:v>
      </x:c>
      <x:c r="L384" s="16" t="str">
        <x:v>https://www.youtube.com/watch?v=yGgO4PAnj6o</x:v>
      </x:c>
      <x:c r="M384" s="21" t="str">
        <x:v>YouTube</x:v>
      </x:c>
      <x:c r="N384" s="24" t="n">
        <x:v>13144</x:v>
      </x:c>
      <x:c r="O384" s="22" t="str">
        <x:v>A | Official / Original Creator / Organizer</x:v>
      </x:c>
      <x:c r="P384" s="22" t="str">
        <x:v>Core</x:v>
      </x:c>
      <x:c r="Q384" s="22" t="str">
        <x:v>Verified</x:v>
      </x:c>
      <x:c r="R384" s="25" t="n">
        <x:v>46246</x:v>
      </x:c>
      <x:c r="S384" s="17" t="str">
        <x:v>Curated in the targeted ScholarTube expansion; official institution, conference, lab, course, or creator source.</x:v>
      </x:c>
      <x:c r="T384" s="16" t="str">
        <x:v>yGgO4PAnj6o</x:v>
      </x:c>
    </x:row>
    <x:row r="385" ht="42" customHeight="1">
      <x:c r="A385" s="21" t="str">
        <x:v>ST-384</x:v>
      </x:c>
      <x:c r="B385" s="21" t="str">
        <x:v>Talk</x:v>
      </x:c>
      <x:c r="C385" s="21" t="str">
        <x:v>Robotics</x:v>
      </x:c>
      <x:c r="D385" s="17" t="str">
        <x:v>Robotics / Embodied AI</x:v>
      </x:c>
      <x:c r="E385" s="17" t="str">
        <x:v>Robot Learning / Embodied AI / Control</x:v>
      </x:c>
      <x:c r="F385" s="22" t="str">
        <x:v>English</x:v>
      </x:c>
      <x:c r="G385" s="17" t="str">
        <x:v>RI Seminar: Russ Tedrake: Robust motion planning for walking robots and robotic birds</x:v>
      </x:c>
      <x:c r="H385" s="17" t="str">
        <x:v>Russ Tedrake</x:v>
      </x:c>
      <x:c r="I385" s="17" t="str">
        <x:v>CMU Robotics Institute</x:v>
      </x:c>
      <x:c r="J385" s="22" t="str">
        <x:v>Academic Talk / Research Seminar</x:v>
      </x:c>
      <x:c r="K385" s="23" t="n">
        <x:v>64</x:v>
      </x:c>
      <x:c r="L385" s="16" t="str">
        <x:v>https://www.youtube.com/watch?v=QV0gydSTqdY</x:v>
      </x:c>
      <x:c r="M385" s="21" t="str">
        <x:v>YouTube</x:v>
      </x:c>
      <x:c r="N385" s="24" t="n">
        <x:v>21324</x:v>
      </x:c>
      <x:c r="O385" s="22" t="str">
        <x:v>A | Official / Original Creator / Organizer</x:v>
      </x:c>
      <x:c r="P385" s="22" t="str">
        <x:v>Core</x:v>
      </x:c>
      <x:c r="Q385" s="22" t="str">
        <x:v>Verified</x:v>
      </x:c>
      <x:c r="R385" s="25" t="n">
        <x:v>46246</x:v>
      </x:c>
      <x:c r="S385" s="17" t="str">
        <x:v>Curated in the targeted ScholarTube expansion; official institution, conference, lab, course, or creator source.</x:v>
      </x:c>
      <x:c r="T385" s="16" t="str">
        <x:v>QV0gydSTqdY</x:v>
      </x:c>
    </x:row>
    <x:row r="386" ht="42" customHeight="1">
      <x:c r="A386" s="21" t="str">
        <x:v>ST-385</x:v>
      </x:c>
      <x:c r="B386" s="21" t="str">
        <x:v>Talk</x:v>
      </x:c>
      <x:c r="C386" s="21" t="str">
        <x:v>Robotics</x:v>
      </x:c>
      <x:c r="D386" s="17" t="str">
        <x:v>Robotics / Embodied AI</x:v>
      </x:c>
      <x:c r="E386" s="17" t="str">
        <x:v>Robot Learning / Embodied AI / Control</x:v>
      </x:c>
      <x:c r="F386" s="22" t="str">
        <x:v>English</x:v>
      </x:c>
      <x:c r="G386" s="17" t="str">
        <x:v>Stanford Seminar - Objects, Skills, and the Quest for Compositional Robot Autonomy</x:v>
      </x:c>
      <x:c r="H386" s="17" t="str">
        <x:v>Yuke Zhu</x:v>
      </x:c>
      <x:c r="I386" s="17" t="str">
        <x:v>Stanford Online</x:v>
      </x:c>
      <x:c r="J386" s="22" t="str">
        <x:v>Academic Talk / Research Seminar</x:v>
      </x:c>
      <x:c r="K386" s="23" t="n">
        <x:v>61</x:v>
      </x:c>
      <x:c r="L386" s="16" t="str">
        <x:v>https://www.youtube.com/watch?v=xwviwNTIR-c</x:v>
      </x:c>
      <x:c r="M386" s="21" t="str">
        <x:v>YouTube</x:v>
      </x:c>
      <x:c r="N386" s="24" t="n">
        <x:v>2170</x:v>
      </x:c>
      <x:c r="O386" s="22" t="str">
        <x:v>A | Official / Original Creator / Organizer</x:v>
      </x:c>
      <x:c r="P386" s="22" t="str">
        <x:v>Core</x:v>
      </x:c>
      <x:c r="Q386" s="22" t="str">
        <x:v>Verified</x:v>
      </x:c>
      <x:c r="R386" s="25" t="n">
        <x:v>46246</x:v>
      </x:c>
      <x:c r="S386" s="17" t="str">
        <x:v>Curated in the targeted ScholarTube expansion; official institution, conference, lab, course, or creator source.</x:v>
      </x:c>
      <x:c r="T386" s="16" t="str">
        <x:v>xwviwNTIR-c</x:v>
      </x:c>
    </x:row>
    <x:row r="387" ht="42" customHeight="1">
      <x:c r="A387" s="21" t="str">
        <x:v>ST-386</x:v>
      </x:c>
      <x:c r="B387" s="21" t="str">
        <x:v>Talk</x:v>
      </x:c>
      <x:c r="C387" s="21" t="str">
        <x:v>Robotics</x:v>
      </x:c>
      <x:c r="D387" s="17" t="str">
        <x:v>Robotics / Embodied AI</x:v>
      </x:c>
      <x:c r="E387" s="17" t="str">
        <x:v>Robot Learning / Embodied AI / Control</x:v>
      </x:c>
      <x:c r="F387" s="22" t="str">
        <x:v>English</x:v>
      </x:c>
      <x:c r="G387" s="17" t="str">
        <x:v>U of T Robotics Institute Seminar: Sergey Levine (UC Berkeley)</x:v>
      </x:c>
      <x:c r="H387" s="17" t="str">
        <x:v>Sergey Levine</x:v>
      </x:c>
      <x:c r="I387" s="17" t="str">
        <x:v>University of Toronto Robotics Institute</x:v>
      </x:c>
      <x:c r="J387" s="22" t="str">
        <x:v>Academic Talk / Research Seminar</x:v>
      </x:c>
      <x:c r="K387" s="23" t="n">
        <x:v>55</x:v>
      </x:c>
      <x:c r="L387" s="16" t="str">
        <x:v>https://www.youtube.com/watch?v=EYLdC3a0NHw</x:v>
      </x:c>
      <x:c r="M387" s="21" t="str">
        <x:v>YouTube</x:v>
      </x:c>
      <x:c r="N387" s="24" t="n">
        <x:v>20482</x:v>
      </x:c>
      <x:c r="O387" s="22" t="str">
        <x:v>A | Official / Original Creator / Organizer</x:v>
      </x:c>
      <x:c r="P387" s="22" t="str">
        <x:v>Core</x:v>
      </x:c>
      <x:c r="Q387" s="22" t="str">
        <x:v>Verified</x:v>
      </x:c>
      <x:c r="R387" s="25" t="n">
        <x:v>46246</x:v>
      </x:c>
      <x:c r="S387" s="17" t="str">
        <x:v>Curated in the targeted ScholarTube expansion; official institution, conference, lab, course, or creator source.</x:v>
      </x:c>
      <x:c r="T387" s="16" t="str">
        <x:v>EYLdC3a0NHw</x:v>
      </x:c>
    </x:row>
    <x:row r="388" ht="42" customHeight="1">
      <x:c r="A388" s="21" t="str">
        <x:v>ST-387</x:v>
      </x:c>
      <x:c r="B388" s="21" t="str">
        <x:v>Talk</x:v>
      </x:c>
      <x:c r="C388" s="21" t="str">
        <x:v>Robotics</x:v>
      </x:c>
      <x:c r="D388" s="17" t="str">
        <x:v>Robotics / Embodied AI</x:v>
      </x:c>
      <x:c r="E388" s="17" t="str">
        <x:v>Robot Learning / Embodied AI / Control</x:v>
      </x:c>
      <x:c r="F388" s="22" t="str">
        <x:v>English</x:v>
      </x:c>
      <x:c r="G388" s="17" t="str">
        <x:v>Stanford Seminar - The Next Generation of Robot Learning</x:v>
      </x:c>
      <x:c r="H388" s="17" t="str">
        <x:v>Chelsea Finn</x:v>
      </x:c>
      <x:c r="I388" s="17" t="str">
        <x:v>Stanford Online</x:v>
      </x:c>
      <x:c r="J388" s="22" t="str">
        <x:v>Academic Talk / Research Seminar</x:v>
      </x:c>
      <x:c r="K388" s="23" t="n">
        <x:v>56</x:v>
      </x:c>
      <x:c r="L388" s="16" t="str">
        <x:v>https://www.youtube.com/watch?v=tcFLwgqO7G0</x:v>
      </x:c>
      <x:c r="M388" s="21" t="str">
        <x:v>YouTube</x:v>
      </x:c>
      <x:c r="N388" s="24" t="n">
        <x:v>6541</x:v>
      </x:c>
      <x:c r="O388" s="22" t="str">
        <x:v>A | Official / Original Creator / Organizer</x:v>
      </x:c>
      <x:c r="P388" s="22" t="str">
        <x:v>Core</x:v>
      </x:c>
      <x:c r="Q388" s="22" t="str">
        <x:v>Verified</x:v>
      </x:c>
      <x:c r="R388" s="25" t="n">
        <x:v>46246</x:v>
      </x:c>
      <x:c r="S388" s="17" t="str">
        <x:v>Curated in the targeted ScholarTube expansion; official institution, conference, lab, course, or creator source.</x:v>
      </x:c>
      <x:c r="T388" s="16" t="str">
        <x:v>tcFLwgqO7G0</x:v>
      </x:c>
    </x:row>
    <x:row r="389" ht="42" customHeight="1">
      <x:c r="A389" s="21" t="str">
        <x:v>ST-388</x:v>
      </x:c>
      <x:c r="B389" s="21" t="str">
        <x:v>Talk</x:v>
      </x:c>
      <x:c r="C389" s="21" t="str">
        <x:v>Robotics</x:v>
      </x:c>
      <x:c r="D389" s="17" t="str">
        <x:v>Robotics / Embodied AI</x:v>
      </x:c>
      <x:c r="E389" s="17" t="str">
        <x:v>Robot Learning / Embodied AI / Control</x:v>
      </x:c>
      <x:c r="F389" s="22" t="str">
        <x:v>English</x:v>
      </x:c>
      <x:c r="G389" s="17" t="str">
        <x:v>RI Seminar : Pieter Abbeel : Deep Learning for Robotics</x:v>
      </x:c>
      <x:c r="H389" s="17" t="str">
        <x:v>Pieter Abbeel</x:v>
      </x:c>
      <x:c r="I389" s="17" t="str">
        <x:v>CMU Robotics Institute</x:v>
      </x:c>
      <x:c r="J389" s="22" t="str">
        <x:v>Academic Talk / Research Seminar</x:v>
      </x:c>
      <x:c r="K389" s="23" t="n">
        <x:v>70</x:v>
      </x:c>
      <x:c r="L389" s="16" t="str">
        <x:v>https://www.youtube.com/watch?v=WGza-jN4CZs</x:v>
      </x:c>
      <x:c r="M389" s="21" t="str">
        <x:v>YouTube</x:v>
      </x:c>
      <x:c r="N389" s="24" t="n">
        <x:v>8932</x:v>
      </x:c>
      <x:c r="O389" s="22" t="str">
        <x:v>A | Official / Original Creator / Organizer</x:v>
      </x:c>
      <x:c r="P389" s="22" t="str">
        <x:v>Core</x:v>
      </x:c>
      <x:c r="Q389" s="22" t="str">
        <x:v>Verified</x:v>
      </x:c>
      <x:c r="R389" s="25" t="n">
        <x:v>46246</x:v>
      </x:c>
      <x:c r="S389" s="17" t="str">
        <x:v>Curated in the targeted ScholarTube expansion; official institution, conference, lab, course, or creator source.</x:v>
      </x:c>
      <x:c r="T389" s="16" t="str">
        <x:v>WGza-jN4CZs</x:v>
      </x:c>
    </x:row>
    <x:row r="390" ht="42" customHeight="1">
      <x:c r="A390" s="21" t="str">
        <x:v>ST-389</x:v>
      </x:c>
      <x:c r="B390" s="21" t="str">
        <x:v>Talk</x:v>
      </x:c>
      <x:c r="C390" s="21" t="str">
        <x:v>Robotics</x:v>
      </x:c>
      <x:c r="D390" s="17" t="str">
        <x:v>Robotics / Embodied AI</x:v>
      </x:c>
      <x:c r="E390" s="17" t="str">
        <x:v>Robot Learning / Embodied AI / Control</x:v>
      </x:c>
      <x:c r="F390" s="22" t="str">
        <x:v>English</x:v>
      </x:c>
      <x:c r="G390" s="17" t="str">
        <x:v>RI Seminar: Sergey Levine : Deep Robotic Learning</x:v>
      </x:c>
      <x:c r="H390" s="17" t="str">
        <x:v>Sergey Levine</x:v>
      </x:c>
      <x:c r="I390" s="17" t="str">
        <x:v>CMU Robotics Institute</x:v>
      </x:c>
      <x:c r="J390" s="22" t="str">
        <x:v>Academic Talk / Research Seminar</x:v>
      </x:c>
      <x:c r="K390" s="23" t="n">
        <x:v>61</x:v>
      </x:c>
      <x:c r="L390" s="16" t="str">
        <x:v>https://www.youtube.com/watch?v=eKaYnXQUb2g</x:v>
      </x:c>
      <x:c r="M390" s="21" t="str">
        <x:v>YouTube</x:v>
      </x:c>
      <x:c r="N390" s="24" t="n">
        <x:v>25564</x:v>
      </x:c>
      <x:c r="O390" s="22" t="str">
        <x:v>A | Official / Original Creator / Organizer</x:v>
      </x:c>
      <x:c r="P390" s="22" t="str">
        <x:v>Core</x:v>
      </x:c>
      <x:c r="Q390" s="22" t="str">
        <x:v>Verified</x:v>
      </x:c>
      <x:c r="R390" s="25" t="n">
        <x:v>46246</x:v>
      </x:c>
      <x:c r="S390" s="17" t="str">
        <x:v>Curated in the targeted ScholarTube expansion; official institution, conference, lab, course, or creator source.</x:v>
      </x:c>
      <x:c r="T390" s="16" t="str">
        <x:v>eKaYnXQUb2g</x:v>
      </x:c>
    </x:row>
    <x:row r="391" ht="42" customHeight="1">
      <x:c r="A391" s="21" t="str">
        <x:v>ST-390</x:v>
      </x:c>
      <x:c r="B391" s="21" t="str">
        <x:v>Talk</x:v>
      </x:c>
      <x:c r="C391" s="21" t="str">
        <x:v>Robotics</x:v>
      </x:c>
      <x:c r="D391" s="17" t="str">
        <x:v>Robotics / Embodied AI</x:v>
      </x:c>
      <x:c r="E391" s="17" t="str">
        <x:v>Robot Learning / Embodied AI / Control</x:v>
      </x:c>
      <x:c r="F391" s="22" t="str">
        <x:v>English</x:v>
      </x:c>
      <x:c r="G391" s="17" t="str">
        <x:v>RI Seminar: Lerrel Pinto : A Constructivist’s Guide to Robot Learning</x:v>
      </x:c>
      <x:c r="H391" s="17" t="str">
        <x:v>Lerrel Pinto</x:v>
      </x:c>
      <x:c r="I391" s="17" t="str">
        <x:v>CMU Robotics Institute</x:v>
      </x:c>
      <x:c r="J391" s="22" t="str">
        <x:v>Academic Talk / Research Seminar</x:v>
      </x:c>
      <x:c r="K391" s="23" t="n">
        <x:v>60</x:v>
      </x:c>
      <x:c r="L391" s="16" t="str">
        <x:v>https://www.youtube.com/watch?v=upmR1U2bprs</x:v>
      </x:c>
      <x:c r="M391" s="21" t="str">
        <x:v>YouTube</x:v>
      </x:c>
      <x:c r="N391" s="24" t="n">
        <x:v>5119</x:v>
      </x:c>
      <x:c r="O391" s="22" t="str">
        <x:v>A | Official / Original Creator / Organizer</x:v>
      </x:c>
      <x:c r="P391" s="22" t="str">
        <x:v>Core</x:v>
      </x:c>
      <x:c r="Q391" s="22" t="str">
        <x:v>Verified</x:v>
      </x:c>
      <x:c r="R391" s="25" t="n">
        <x:v>46246</x:v>
      </x:c>
      <x:c r="S391" s="17" t="str">
        <x:v>Curated in the targeted ScholarTube expansion; official institution, conference, lab, course, or creator source.</x:v>
      </x:c>
      <x:c r="T391" s="16" t="str">
        <x:v>upmR1U2bprs</x:v>
      </x:c>
    </x:row>
    <x:row r="392" ht="42" customHeight="1">
      <x:c r="A392" s="21" t="str">
        <x:v>ST-391</x:v>
      </x:c>
      <x:c r="B392" s="21" t="str">
        <x:v>Talk</x:v>
      </x:c>
      <x:c r="C392" s="21" t="str">
        <x:v>Robotics</x:v>
      </x:c>
      <x:c r="D392" s="17" t="str">
        <x:v>Robotics / Embodied AI</x:v>
      </x:c>
      <x:c r="E392" s="17" t="str">
        <x:v>Robot Learning / Embodied AI / Control</x:v>
      </x:c>
      <x:c r="F392" s="22" t="str">
        <x:v>English</x:v>
      </x:c>
      <x:c r="G392" s="17" t="str">
        <x:v>RI Seminar: Chelsea Finn : Data Scalability for Robot Learning</x:v>
      </x:c>
      <x:c r="H392" s="17" t="str">
        <x:v>Chelsea Finn</x:v>
      </x:c>
      <x:c r="I392" s="17" t="str">
        <x:v>CMU Robotics Institute</x:v>
      </x:c>
      <x:c r="J392" s="22" t="str">
        <x:v>Academic Talk / Research Seminar</x:v>
      </x:c>
      <x:c r="K392" s="23" t="n">
        <x:v>60</x:v>
      </x:c>
      <x:c r="L392" s="16" t="str">
        <x:v>https://www.youtube.com/watch?v=LGlgSeWemcM</x:v>
      </x:c>
      <x:c r="M392" s="21" t="str">
        <x:v>YouTube</x:v>
      </x:c>
      <x:c r="N392" s="24" t="n">
        <x:v>1666</x:v>
      </x:c>
      <x:c r="O392" s="22" t="str">
        <x:v>A | Official / Original Creator / Organizer</x:v>
      </x:c>
      <x:c r="P392" s="22" t="str">
        <x:v>Core</x:v>
      </x:c>
      <x:c r="Q392" s="22" t="str">
        <x:v>Verified</x:v>
      </x:c>
      <x:c r="R392" s="25" t="n">
        <x:v>46246</x:v>
      </x:c>
      <x:c r="S392" s="17" t="str">
        <x:v>Curated in the targeted ScholarTube expansion; official institution, conference, lab, course, or creator source.</x:v>
      </x:c>
      <x:c r="T392" s="16" t="str">
        <x:v>LGlgSeWemcM</x:v>
      </x:c>
    </x:row>
    <x:row r="393" ht="42" customHeight="1">
      <x:c r="A393" s="21" t="str">
        <x:v>ST-392</x:v>
      </x:c>
      <x:c r="B393" s="21" t="str">
        <x:v>Talk</x:v>
      </x:c>
      <x:c r="C393" s="21" t="str">
        <x:v>Robotics</x:v>
      </x:c>
      <x:c r="D393" s="17" t="str">
        <x:v>Robotics / Embodied AI</x:v>
      </x:c>
      <x:c r="E393" s="17" t="str">
        <x:v>Robot Learning / Embodied AI / Control</x:v>
      </x:c>
      <x:c r="F393" s="22" t="str">
        <x:v>English</x:v>
      </x:c>
      <x:c r="G393" s="17" t="str">
        <x:v>RI Seminar : Pieter Abbeel : Machine Learning and Optimization for Robotics</x:v>
      </x:c>
      <x:c r="H393" s="17" t="str">
        <x:v>Pieter Abbeel</x:v>
      </x:c>
      <x:c r="I393" s="17" t="str">
        <x:v>CMU Robotics Institute</x:v>
      </x:c>
      <x:c r="J393" s="22" t="str">
        <x:v>Academic Talk / Research Seminar</x:v>
      </x:c>
      <x:c r="K393" s="23" t="n">
        <x:v>67</x:v>
      </x:c>
      <x:c r="L393" s="16" t="str">
        <x:v>https://www.youtube.com/watch?v=S2GAz5F03Ls</x:v>
      </x:c>
      <x:c r="M393" s="21" t="str">
        <x:v>YouTube</x:v>
      </x:c>
      <x:c r="N393" s="24" t="n">
        <x:v>21716</x:v>
      </x:c>
      <x:c r="O393" s="22" t="str">
        <x:v>A | Official / Original Creator / Organizer</x:v>
      </x:c>
      <x:c r="P393" s="22" t="str">
        <x:v>Core</x:v>
      </x:c>
      <x:c r="Q393" s="22" t="str">
        <x:v>Verified</x:v>
      </x:c>
      <x:c r="R393" s="25" t="n">
        <x:v>46246</x:v>
      </x:c>
      <x:c r="S393" s="17" t="str">
        <x:v>Curated in the targeted ScholarTube expansion; official institution, conference, lab, course, or creator source.</x:v>
      </x:c>
      <x:c r="T393" s="16" t="str">
        <x:v>S2GAz5F03Ls</x:v>
      </x:c>
    </x:row>
    <x:row r="394" ht="42" customHeight="1">
      <x:c r="A394" s="21" t="str">
        <x:v>ST-393</x:v>
      </x:c>
      <x:c r="B394" s="21" t="str">
        <x:v>Interview</x:v>
      </x:c>
      <x:c r="C394" s="21" t="str">
        <x:v>Agent</x:v>
      </x:c>
      <x:c r="D394" s="17" t="str">
        <x:v>Agents / Tool Use / Reasoning</x:v>
      </x:c>
      <x:c r="E394" s="17" t="str">
        <x:v>Agents / Reasoning / Tool Use</x:v>
      </x:c>
      <x:c r="F394" s="22" t="str">
        <x:v>English</x:v>
      </x:c>
      <x:c r="G394" s="17" t="str">
        <x:v>Harrison Chase of LangChain on Deep Agents, LangSmith, and Earning Trust | NVIDIA AI Podcast Ep. 297</x:v>
      </x:c>
      <x:c r="H394" s="17" t="str">
        <x:v>Harrison Chase</x:v>
      </x:c>
      <x:c r="I394" s="17" t="str">
        <x:v>NVIDIA</x:v>
      </x:c>
      <x:c r="J394" s="22" t="str">
        <x:v>Podcast Interview</x:v>
      </x:c>
      <x:c r="K394" s="23" t="n">
        <x:v>25</x:v>
      </x:c>
      <x:c r="L394" s="16" t="str">
        <x:v>https://www.youtube.com/watch?v=c-fsL0gsmo0</x:v>
      </x:c>
      <x:c r="M394" s="21" t="str">
        <x:v>YouTube</x:v>
      </x:c>
      <x:c r="N394" s="24" t="n">
        <x:v>6485</x:v>
      </x:c>
      <x:c r="O394" s="22" t="str">
        <x:v>A | Official / Original Creator / Organizer</x:v>
      </x:c>
      <x:c r="P394" s="22" t="str">
        <x:v>Core</x:v>
      </x:c>
      <x:c r="Q394" s="22" t="str">
        <x:v>Verified</x:v>
      </x:c>
      <x:c r="R394" s="25" t="n">
        <x:v>46246</x:v>
      </x:c>
      <x:c r="S394" s="17" t="str">
        <x:v>Curated in the targeted ScholarTube expansion; official institution, conference, lab, course, or creator source.</x:v>
      </x:c>
      <x:c r="T394" s="16" t="str">
        <x:v>c-fsL0gsmo0</x:v>
      </x:c>
    </x:row>
    <x:row r="395" ht="42" customHeight="1">
      <x:c r="A395" s="21" t="str">
        <x:v>ST-394</x:v>
      </x:c>
      <x:c r="B395" s="21" t="str">
        <x:v>Interview</x:v>
      </x:c>
      <x:c r="C395" s="21" t="str">
        <x:v>Robotics</x:v>
      </x:c>
      <x:c r="D395" s="17" t="str">
        <x:v>Robotics / Embodied AI</x:v>
      </x:c>
      <x:c r="E395" s="17" t="str">
        <x:v>Robot Learning / Embodied AI / Control</x:v>
      </x:c>
      <x:c r="F395" s="22" t="str">
        <x:v>English</x:v>
      </x:c>
      <x:c r="G395" s="17" t="str">
        <x:v>Pulkit Agrawal on ASB Podcast | Thought Leaders' Two Cents | EP 01</x:v>
      </x:c>
      <x:c r="H395" s="17" t="str">
        <x:v>Pulkit Agrawal</x:v>
      </x:c>
      <x:c r="I395" s="17" t="str">
        <x:v>Asia School of Business in collaboration with MIT Sloan</x:v>
      </x:c>
      <x:c r="J395" s="22" t="str">
        <x:v>Podcast Interview</x:v>
      </x:c>
      <x:c r="K395" s="23" t="n">
        <x:v>58</x:v>
      </x:c>
      <x:c r="L395" s="16" t="str">
        <x:v>https://www.youtube.com/watch?v=gXnwHA7V0d0</x:v>
      </x:c>
      <x:c r="M395" s="21" t="str">
        <x:v>YouTube</x:v>
      </x:c>
      <x:c r="N395" s="24" t="n">
        <x:v>404</x:v>
      </x:c>
      <x:c r="O395" s="22" t="str">
        <x:v>A | Official / Original Creator / Organizer</x:v>
      </x:c>
      <x:c r="P395" s="22" t="str">
        <x:v>Core</x:v>
      </x:c>
      <x:c r="Q395" s="22" t="str">
        <x:v>Verified</x:v>
      </x:c>
      <x:c r="R395" s="25" t="n">
        <x:v>46246</x:v>
      </x:c>
      <x:c r="S395" s="17" t="str">
        <x:v>Curated in the targeted ScholarTube expansion; official institution, conference, lab, course, or creator source.</x:v>
      </x:c>
      <x:c r="T395" s="16" t="str">
        <x:v>gXnwHA7V0d0</x:v>
      </x:c>
    </x:row>
    <x:row r="396" ht="42" customHeight="1">
      <x:c r="A396" s="21" t="str">
        <x:v>ST-395</x:v>
      </x:c>
      <x:c r="B396" s="21" t="str">
        <x:v>Talk</x:v>
      </x:c>
      <x:c r="C396" s="21" t="str">
        <x:v>Robotics</x:v>
      </x:c>
      <x:c r="D396" s="17" t="str">
        <x:v>Robotics / Embodied AI</x:v>
      </x:c>
      <x:c r="E396" s="17" t="str">
        <x:v>Robot Learning / Embodied AI / Control</x:v>
      </x:c>
      <x:c r="F396" s="22" t="str">
        <x:v>English</x:v>
      </x:c>
      <x:c r="G396" s="17" t="str">
        <x:v>EI Seminar - Deepak Pathak - Rapid Adaptation in Robot Learning</x:v>
      </x:c>
      <x:c r="H396" s="17" t="str">
        <x:v>Deepak Pathak</x:v>
      </x:c>
      <x:c r="I396" s="17" t="str">
        <x:v>MIT Embodied Intelligence</x:v>
      </x:c>
      <x:c r="J396" s="22" t="str">
        <x:v>Academic Talk / Research Seminar</x:v>
      </x:c>
      <x:c r="K396" s="23" t="n">
        <x:v>67</x:v>
      </x:c>
      <x:c r="L396" s="16" t="str">
        <x:v>https://www.youtube.com/watch?v=DdweAnoNdtY</x:v>
      </x:c>
      <x:c r="M396" s="21" t="str">
        <x:v>YouTube</x:v>
      </x:c>
      <x:c r="N396" s="24" t="n">
        <x:v>2621</x:v>
      </x:c>
      <x:c r="O396" s="22" t="str">
        <x:v>A | Official / Original Creator / Organizer</x:v>
      </x:c>
      <x:c r="P396" s="22" t="str">
        <x:v>Core</x:v>
      </x:c>
      <x:c r="Q396" s="22" t="str">
        <x:v>Verified</x:v>
      </x:c>
      <x:c r="R396" s="25" t="n">
        <x:v>46246</x:v>
      </x:c>
      <x:c r="S396" s="17" t="str">
        <x:v>Curated in the targeted ScholarTube expansion; official institution, conference, lab, course, or creator source.</x:v>
      </x:c>
      <x:c r="T396" s="16" t="str">
        <x:v>DdweAnoNdtY</x:v>
      </x:c>
    </x:row>
    <x:row r="397" ht="42" customHeight="1">
      <x:c r="A397" s="21" t="str">
        <x:v>ST-396</x:v>
      </x:c>
      <x:c r="B397" s="21" t="str">
        <x:v>Talk</x:v>
      </x:c>
      <x:c r="C397" s="21" t="str">
        <x:v>Agent</x:v>
      </x:c>
      <x:c r="D397" s="17" t="str">
        <x:v>Agents / Tool Use / Reasoning</x:v>
      </x:c>
      <x:c r="E397" s="17" t="str">
        <x:v>Agents / Reasoning / Tool Use</x:v>
      </x:c>
      <x:c r="F397" s="22" t="str">
        <x:v>English</x:v>
      </x:c>
      <x:c r="G397" s="17" t="str">
        <x:v>CS839 Special Topics in Deep Learning:  Guest speaker Yuandong Tian (Lecture 5)</x:v>
      </x:c>
      <x:c r="H397" s="17" t="str">
        <x:v>Yuandong Tian</x:v>
      </x:c>
      <x:c r="I397" s="17" t="str">
        <x:v>Deep Learning at University of Wisconsin-Madison</x:v>
      </x:c>
      <x:c r="J397" s="22" t="str">
        <x:v>Academic Talk / Research Seminar</x:v>
      </x:c>
      <x:c r="K397" s="23" t="n">
        <x:v>75</x:v>
      </x:c>
      <x:c r="L397" s="16" t="str">
        <x:v>https://www.youtube.com/watch?v=9022cLbz_R4</x:v>
      </x:c>
      <x:c r="M397" s="21" t="str">
        <x:v>YouTube</x:v>
      </x:c>
      <x:c r="N397" s="24" t="n">
        <x:v>467</x:v>
      </x:c>
      <x:c r="O397" s="22" t="str">
        <x:v>A | Official / Original Creator / Organizer</x:v>
      </x:c>
      <x:c r="P397" s="22" t="str">
        <x:v>Core</x:v>
      </x:c>
      <x:c r="Q397" s="22" t="str">
        <x:v>Verified</x:v>
      </x:c>
      <x:c r="R397" s="25" t="n">
        <x:v>46246</x:v>
      </x:c>
      <x:c r="S397" s="17" t="str">
        <x:v>Curated in the targeted ScholarTube expansion; official institution, conference, lab, course, or creator source.</x:v>
      </x:c>
      <x:c r="T397" s="16" t="str">
        <x:v>9022cLbz_R4</x:v>
      </x:c>
    </x:row>
    <x:row r="398" ht="42" customHeight="1">
      <x:c r="A398" s="21" t="str">
        <x:v>ST-397</x:v>
      </x:c>
      <x:c r="B398" s="21" t="str">
        <x:v>Talk</x:v>
      </x:c>
      <x:c r="C398" s="21" t="str">
        <x:v>Robotics</x:v>
      </x:c>
      <x:c r="D398" s="17" t="str">
        <x:v>Robotics / Embodied AI</x:v>
      </x:c>
      <x:c r="E398" s="17" t="str">
        <x:v>Robot Learning / Embodied AI / Control</x:v>
      </x:c>
      <x:c r="F398" s="22" t="str">
        <x:v>English</x:v>
      </x:c>
      <x:c r="G398" s="17" t="str">
        <x:v>MIT EI Seminar - Lerrel Pinto - Diverse data and efficient algorithms for robot learning</x:v>
      </x:c>
      <x:c r="H398" s="17" t="str">
        <x:v>Lerrel Pinto</x:v>
      </x:c>
      <x:c r="I398" s="17" t="str">
        <x:v>MIT Embodied Intelligence</x:v>
      </x:c>
      <x:c r="J398" s="22" t="str">
        <x:v>Academic Talk / Research Seminar</x:v>
      </x:c>
      <x:c r="K398" s="23" t="n">
        <x:v>56</x:v>
      </x:c>
      <x:c r="L398" s="16" t="str">
        <x:v>https://www.youtube.com/watch?v=tRcwyC-ivMQ</x:v>
      </x:c>
      <x:c r="M398" s="21" t="str">
        <x:v>YouTube</x:v>
      </x:c>
      <x:c r="N398" s="24" t="n">
        <x:v>1662</x:v>
      </x:c>
      <x:c r="O398" s="22" t="str">
        <x:v>A | Official / Original Creator / Organizer</x:v>
      </x:c>
      <x:c r="P398" s="22" t="str">
        <x:v>Core</x:v>
      </x:c>
      <x:c r="Q398" s="22" t="str">
        <x:v>Verified</x:v>
      </x:c>
      <x:c r="R398" s="25" t="n">
        <x:v>46246</x:v>
      </x:c>
      <x:c r="S398" s="17" t="str">
        <x:v>Curated in the targeted ScholarTube expansion; official institution, conference, lab, course, or creator source.</x:v>
      </x:c>
      <x:c r="T398" s="16" t="str">
        <x:v>tRcwyC-ivMQ</x:v>
      </x:c>
    </x:row>
    <x:row r="399" ht="42" customHeight="1">
      <x:c r="A399" s="21" t="str">
        <x:v>ST-398</x:v>
      </x:c>
      <x:c r="B399" s="21" t="str">
        <x:v>Talk</x:v>
      </x:c>
      <x:c r="C399" s="21" t="str">
        <x:v>Robotics</x:v>
      </x:c>
      <x:c r="D399" s="17" t="str">
        <x:v>Robotics / Embodied AI</x:v>
      </x:c>
      <x:c r="E399" s="17" t="str">
        <x:v>Robot Learning / Embodied AI / Control</x:v>
      </x:c>
      <x:c r="F399" s="22" t="str">
        <x:v>English</x:v>
      </x:c>
      <x:c r="G399" s="17" t="str">
        <x:v>Symposium: Deep Learning - Pieter Abbeel</x:v>
      </x:c>
      <x:c r="H399" s="17" t="str">
        <x:v>Pieter Abbeel</x:v>
      </x:c>
      <x:c r="I399" s="17" t="str">
        <x:v>Microsoft Research</x:v>
      </x:c>
      <x:c r="J399" s="22" t="str">
        <x:v>Academic Talk / Research Seminar</x:v>
      </x:c>
      <x:c r="K399" s="23" t="n">
        <x:v>21</x:v>
      </x:c>
      <x:c r="L399" s="16" t="str">
        <x:v>https://www.youtube.com/watch?v=T3mkz-zuzGY</x:v>
      </x:c>
      <x:c r="M399" s="21" t="str">
        <x:v>YouTube</x:v>
      </x:c>
      <x:c r="N399" s="24" t="n">
        <x:v>686</x:v>
      </x:c>
      <x:c r="O399" s="22" t="str">
        <x:v>A | Official / Original Creator / Organizer</x:v>
      </x:c>
      <x:c r="P399" s="22" t="str">
        <x:v>Core</x:v>
      </x:c>
      <x:c r="Q399" s="22" t="str">
        <x:v>Verified</x:v>
      </x:c>
      <x:c r="R399" s="25" t="n">
        <x:v>46246</x:v>
      </x:c>
      <x:c r="S399" s="17" t="str">
        <x:v>Curated in the targeted ScholarTube expansion; official institution, conference, lab, course, or creator source.</x:v>
      </x:c>
      <x:c r="T399" s="16" t="str">
        <x:v>T3mkz-zuzGY</x:v>
      </x:c>
    </x:row>
    <x:row r="400" ht="42" customHeight="1">
      <x:c r="A400" s="21" t="str">
        <x:v>ST-399</x:v>
      </x:c>
      <x:c r="B400" s="21" t="str">
        <x:v>Course</x:v>
      </x:c>
      <x:c r="C400" s="21" t="str">
        <x:v>Vision</x:v>
      </x:c>
      <x:c r="D400" s="17" t="str">
        <x:v>Computer Vision / 3D Vision</x:v>
      </x:c>
      <x:c r="E400" s="17" t="str">
        <x:v>Computer Vision / 3D Vision / Representation Learning</x:v>
      </x:c>
      <x:c r="F400" s="22" t="str">
        <x:v>English</x:v>
      </x:c>
      <x:c r="G400" s="17" t="str">
        <x:v>Stanford CME296 Diffusion &amp; Large Vision Models | Spring 2026 | Lecture 1 - Diffusion</x:v>
      </x:c>
      <x:c r="H400" s="17" t="str">
        <x:v>To be added</x:v>
      </x:c>
      <x:c r="I400" s="17" t="str">
        <x:v>Stanford Online</x:v>
      </x:c>
      <x:c r="J400" s="22" t="str">
        <x:v>Course / Tutorial</x:v>
      </x:c>
      <x:c r="K400" s="23" t="n">
        <x:v>106</x:v>
      </x:c>
      <x:c r="L400" s="16" t="str">
        <x:v>https://www.youtube.com/watch?v=tr-CUpw--ck</x:v>
      </x:c>
      <x:c r="M400" s="21" t="str">
        <x:v>YouTube</x:v>
      </x:c>
      <x:c r="N400" s="24" t="n">
        <x:v>116135</x:v>
      </x:c>
      <x:c r="O400" s="22" t="str">
        <x:v>A | Official / Original Creator / Organizer</x:v>
      </x:c>
      <x:c r="P400" s="22" t="str">
        <x:v>Core</x:v>
      </x:c>
      <x:c r="Q400" s="22" t="str">
        <x:v>Verified</x:v>
      </x:c>
      <x:c r="R400" s="25" t="n">
        <x:v>46246</x:v>
      </x:c>
      <x:c r="S400" s="17" t="str">
        <x:v>Curated in the targeted ScholarTube expansion; official institution, conference, lab, course, or creator source.</x:v>
      </x:c>
      <x:c r="T400" s="16" t="str">
        <x:v>tr-CUpw--ck</x:v>
      </x:c>
    </x:row>
    <x:row r="401" ht="42" customHeight="1">
      <x:c r="A401" s="21" t="str">
        <x:v>ST-400</x:v>
      </x:c>
      <x:c r="B401" s="21" t="str">
        <x:v>Course</x:v>
      </x:c>
      <x:c r="C401" s="21" t="str">
        <x:v>Vision</x:v>
      </x:c>
      <x:c r="D401" s="17" t="str">
        <x:v>Computer Vision / 3D Vision</x:v>
      </x:c>
      <x:c r="E401" s="17" t="str">
        <x:v>Computer Vision / 3D Vision / Representation Learning</x:v>
      </x:c>
      <x:c r="F401" s="22" t="str">
        <x:v>English</x:v>
      </x:c>
      <x:c r="G401" s="17" t="str">
        <x:v>Stanford CS231N Deep Learning for Computer Vision | Spring 2025 | Lecture 15: 3D Vision</x:v>
      </x:c>
      <x:c r="H401" s="17" t="str">
        <x:v>To be added</x:v>
      </x:c>
      <x:c r="I401" s="17" t="str">
        <x:v>Stanford Online</x:v>
      </x:c>
      <x:c r="J401" s="22" t="str">
        <x:v>Course / Tutorial</x:v>
      </x:c>
      <x:c r="K401" s="23" t="n">
        <x:v>72</x:v>
      </x:c>
      <x:c r="L401" s="16" t="str">
        <x:v>https://www.youtube.com/watch?v=7lxrKDKtykM</x:v>
      </x:c>
      <x:c r="M401" s="21" t="str">
        <x:v>YouTube</x:v>
      </x:c>
      <x:c r="N401" s="24" t="n">
        <x:v>19863</x:v>
      </x:c>
      <x:c r="O401" s="22" t="str">
        <x:v>A | Official / Original Creator / Organizer</x:v>
      </x:c>
      <x:c r="P401" s="22" t="str">
        <x:v>Core</x:v>
      </x:c>
      <x:c r="Q401" s="22" t="str">
        <x:v>Verified</x:v>
      </x:c>
      <x:c r="R401" s="25" t="n">
        <x:v>46246</x:v>
      </x:c>
      <x:c r="S401" s="17" t="str">
        <x:v>Curated in the targeted ScholarTube expansion; official institution, conference, lab, course, or creator source.</x:v>
      </x:c>
      <x:c r="T401" s="16" t="str">
        <x:v>7lxrKDKtykM</x:v>
      </x:c>
    </x:row>
    <x:row r="402" ht="42" customHeight="1">
      <x:c r="A402" s="21" t="str">
        <x:v>ST-401</x:v>
      </x:c>
      <x:c r="B402" s="21" t="str">
        <x:v>Course</x:v>
      </x:c>
      <x:c r="C402" s="21" t="str">
        <x:v>Vision</x:v>
      </x:c>
      <x:c r="D402" s="17" t="str">
        <x:v>Computer Vision / 3D Vision</x:v>
      </x:c>
      <x:c r="E402" s="17" t="str">
        <x:v>Computer Vision / 3D Vision / Representation Learning</x:v>
      </x:c>
      <x:c r="F402" s="22" t="str">
        <x:v>English</x:v>
      </x:c>
      <x:c r="G402" s="17" t="str">
        <x:v>Stanford CME296 Diffusion &amp; Large Vision Models | Spring 2026 | Lecture 5 - Architectures</x:v>
      </x:c>
      <x:c r="H402" s="17" t="str">
        <x:v>To be added</x:v>
      </x:c>
      <x:c r="I402" s="17" t="str">
        <x:v>Stanford Online</x:v>
      </x:c>
      <x:c r="J402" s="22" t="str">
        <x:v>Course / Tutorial</x:v>
      </x:c>
      <x:c r="K402" s="23" t="n">
        <x:v>106</x:v>
      </x:c>
      <x:c r="L402" s="16" t="str">
        <x:v>https://www.youtube.com/watch?v=HpFdSlMeXzQ</x:v>
      </x:c>
      <x:c r="M402" s="21" t="str">
        <x:v>YouTube</x:v>
      </x:c>
      <x:c r="N402" s="24" t="n">
        <x:v>13298</x:v>
      </x:c>
      <x:c r="O402" s="22" t="str">
        <x:v>A | Official / Original Creator / Organizer</x:v>
      </x:c>
      <x:c r="P402" s="22" t="str">
        <x:v>Core</x:v>
      </x:c>
      <x:c r="Q402" s="22" t="str">
        <x:v>Verified</x:v>
      </x:c>
      <x:c r="R402" s="25" t="n">
        <x:v>46246</x:v>
      </x:c>
      <x:c r="S402" s="17" t="str">
        <x:v>Curated in the targeted ScholarTube expansion; official institution, conference, lab, course, or creator source.</x:v>
      </x:c>
      <x:c r="T402" s="16" t="str">
        <x:v>HpFdSlMeXzQ</x:v>
      </x:c>
    </x:row>
    <x:row r="403" ht="42" customHeight="1">
      <x:c r="A403" s="21" t="str">
        <x:v>ST-402</x:v>
      </x:c>
      <x:c r="B403" s="21" t="str">
        <x:v>Course</x:v>
      </x:c>
      <x:c r="C403" s="21" t="str">
        <x:v>Vision</x:v>
      </x:c>
      <x:c r="D403" s="17" t="str">
        <x:v>Computer Vision / 3D Vision</x:v>
      </x:c>
      <x:c r="E403" s="17" t="str">
        <x:v>Computer Vision / 3D Vision / Representation Learning</x:v>
      </x:c>
      <x:c r="F403" s="22" t="str">
        <x:v>English</x:v>
      </x:c>
      <x:c r="G403" s="17" t="str">
        <x:v>Lecture 11 | Detection and Segmentation</x:v>
      </x:c>
      <x:c r="H403" s="17" t="str">
        <x:v>To be added</x:v>
      </x:c>
      <x:c r="I403" s="17" t="str">
        <x:v>Stanford University School of Engineering</x:v>
      </x:c>
      <x:c r="J403" s="22" t="str">
        <x:v>Course / Tutorial</x:v>
      </x:c>
      <x:c r="K403" s="23" t="n">
        <x:v>74</x:v>
      </x:c>
      <x:c r="L403" s="16" t="str">
        <x:v>https://www.youtube.com/watch?v=nDPWywWRIRo</x:v>
      </x:c>
      <x:c r="M403" s="21" t="str">
        <x:v>YouTube</x:v>
      </x:c>
      <x:c r="N403" s="24" t="n">
        <x:v>664996</x:v>
      </x:c>
      <x:c r="O403" s="22" t="str">
        <x:v>A | Official / Original Creator / Organizer</x:v>
      </x:c>
      <x:c r="P403" s="22" t="str">
        <x:v>Core</x:v>
      </x:c>
      <x:c r="Q403" s="22" t="str">
        <x:v>Verified</x:v>
      </x:c>
      <x:c r="R403" s="25" t="n">
        <x:v>46246</x:v>
      </x:c>
      <x:c r="S403" s="17" t="str">
        <x:v>Curated in the targeted ScholarTube expansion; official institution, conference, lab, course, or creator source.</x:v>
      </x:c>
      <x:c r="T403" s="16" t="str">
        <x:v>nDPWywWRIRo</x:v>
      </x:c>
    </x:row>
    <x:row r="404" ht="42" customHeight="1">
      <x:c r="A404" s="21" t="str">
        <x:v>ST-403</x:v>
      </x:c>
      <x:c r="B404" s="21" t="str">
        <x:v>Course</x:v>
      </x:c>
      <x:c r="C404" s="21" t="str">
        <x:v>Robotics</x:v>
      </x:c>
      <x:c r="D404" s="17" t="str">
        <x:v>Robotics / Embodied AI</x:v>
      </x:c>
      <x:c r="E404" s="17" t="str">
        <x:v>Robot Learning / Embodied AI / Control</x:v>
      </x:c>
      <x:c r="F404" s="22" t="str">
        <x:v>English</x:v>
      </x:c>
      <x:c r="G404" s="17" t="str">
        <x:v>Stanford Seminar - Robot Skill Acquisition: Policy Representation and Data Generation</x:v>
      </x:c>
      <x:c r="H404" s="17" t="str">
        <x:v>To be added</x:v>
      </x:c>
      <x:c r="I404" s="17" t="str">
        <x:v>Stanford Online</x:v>
      </x:c>
      <x:c r="J404" s="22" t="str">
        <x:v>Course / Tutorial</x:v>
      </x:c>
      <x:c r="K404" s="23" t="n">
        <x:v>56</x:v>
      </x:c>
      <x:c r="L404" s="16" t="str">
        <x:v>https://www.youtube.com/watch?v=V6y3E0r4bMo</x:v>
      </x:c>
      <x:c r="M404" s="21" t="str">
        <x:v>YouTube</x:v>
      </x:c>
      <x:c r="N404" s="24" t="n">
        <x:v>14878</x:v>
      </x:c>
      <x:c r="O404" s="22" t="str">
        <x:v>A | Official / Original Creator / Organizer</x:v>
      </x:c>
      <x:c r="P404" s="22" t="str">
        <x:v>Core</x:v>
      </x:c>
      <x:c r="Q404" s="22" t="str">
        <x:v>Verified</x:v>
      </x:c>
      <x:c r="R404" s="25" t="n">
        <x:v>46246</x:v>
      </x:c>
      <x:c r="S404" s="17" t="str">
        <x:v>Curated in the targeted ScholarTube expansion; official institution, conference, lab, course, or creator source.</x:v>
      </x:c>
      <x:c r="T404" s="16" t="str">
        <x:v>V6y3E0r4bMo</x:v>
      </x:c>
    </x:row>
    <x:row r="405" ht="42" customHeight="1">
      <x:c r="A405" s="21" t="str">
        <x:v>ST-404</x:v>
      </x:c>
      <x:c r="B405" s="21" t="str">
        <x:v>Course</x:v>
      </x:c>
      <x:c r="C405" s="21" t="str">
        <x:v>Robotics</x:v>
      </x:c>
      <x:c r="D405" s="17" t="str">
        <x:v>Robotics / Embodied AI</x:v>
      </x:c>
      <x:c r="E405" s="17" t="str">
        <x:v>Robot Learning / Embodied AI / Control</x:v>
      </x:c>
      <x:c r="F405" s="22" t="str">
        <x:v>English</x:v>
      </x:c>
      <x:c r="G405" s="17" t="str">
        <x:v>Lecture 1: Princeton: Introduction to Robotics</x:v>
      </x:c>
      <x:c r="H405" s="17" t="str">
        <x:v>To be added</x:v>
      </x:c>
      <x:c r="I405" s="17" t="str">
        <x:v>Introduction to Robotics @ Princeton</x:v>
      </x:c>
      <x:c r="J405" s="22" t="str">
        <x:v>Course / Tutorial</x:v>
      </x:c>
      <x:c r="K405" s="23" t="n">
        <x:v>73</x:v>
      </x:c>
      <x:c r="L405" s="16" t="str">
        <x:v>https://www.youtube.com/watch?v=e4jow5O3JT8</x:v>
      </x:c>
      <x:c r="M405" s="21" t="str">
        <x:v>YouTube</x:v>
      </x:c>
      <x:c r="N405" s="24" t="n">
        <x:v>33568</x:v>
      </x:c>
      <x:c r="O405" s="22" t="str">
        <x:v>A | Official / Original Creator / Organizer</x:v>
      </x:c>
      <x:c r="P405" s="22" t="str">
        <x:v>Core</x:v>
      </x:c>
      <x:c r="Q405" s="22" t="str">
        <x:v>Verified</x:v>
      </x:c>
      <x:c r="R405" s="25" t="n">
        <x:v>46246</x:v>
      </x:c>
      <x:c r="S405" s="17" t="str">
        <x:v>Curated in the targeted ScholarTube expansion; official institution, conference, lab, course, or creator source.</x:v>
      </x:c>
      <x:c r="T405" s="16" t="str">
        <x:v>e4jow5O3JT8</x:v>
      </x:c>
    </x:row>
    <x:row r="406" ht="42" customHeight="1">
      <x:c r="A406" s="21" t="str">
        <x:v>ST-405</x:v>
      </x:c>
      <x:c r="B406" s="21" t="str">
        <x:v>Course</x:v>
      </x:c>
      <x:c r="C406" s="21" t="str">
        <x:v>Robotics</x:v>
      </x:c>
      <x:c r="D406" s="17" t="str">
        <x:v>Robotics / Embodied AI</x:v>
      </x:c>
      <x:c r="E406" s="17" t="str">
        <x:v>Robot Learning / Embodied AI / Control</x:v>
      </x:c>
      <x:c r="F406" s="22" t="str">
        <x:v>English</x:v>
      </x:c>
      <x:c r="G406" s="17" t="str">
        <x:v>Learn ROS2 Jazzy Crash Course 2025 (full learning material and code included)</x:v>
      </x:c>
      <x:c r="H406" s="17" t="str">
        <x:v>To be added</x:v>
      </x:c>
      <x:c r="I406" s="17" t="str">
        <x:v>The Construct Robotics Institute</x:v>
      </x:c>
      <x:c r="J406" s="22" t="str">
        <x:v>Course / Tutorial</x:v>
      </x:c>
      <x:c r="K406" s="23" t="n">
        <x:v>244</x:v>
      </x:c>
      <x:c r="L406" s="16" t="str">
        <x:v>https://www.youtube.com/watch?v=Se5pvRlTX8s</x:v>
      </x:c>
      <x:c r="M406" s="21" t="str">
        <x:v>YouTube</x:v>
      </x:c>
      <x:c r="N406" s="24" t="n">
        <x:v>30096</x:v>
      </x:c>
      <x:c r="O406" s="22" t="str">
        <x:v>A | Official / Original Creator / Organizer</x:v>
      </x:c>
      <x:c r="P406" s="22" t="str">
        <x:v>Core</x:v>
      </x:c>
      <x:c r="Q406" s="22" t="str">
        <x:v>Verified</x:v>
      </x:c>
      <x:c r="R406" s="25" t="n">
        <x:v>46246</x:v>
      </x:c>
      <x:c r="S406" s="17" t="str">
        <x:v>Curated in the targeted ScholarTube expansion; official institution, conference, lab, course, or creator source.</x:v>
      </x:c>
      <x:c r="T406" s="16" t="str">
        <x:v>Se5pvRlTX8s</x:v>
      </x:c>
    </x:row>
    <x:row r="407" ht="42" customHeight="1">
      <x:c r="A407" s="21" t="str">
        <x:v>ST-406</x:v>
      </x:c>
      <x:c r="B407" s="21" t="str">
        <x:v>Course</x:v>
      </x:c>
      <x:c r="C407" s="21" t="str">
        <x:v>Agent</x:v>
      </x:c>
      <x:c r="D407" s="17" t="str">
        <x:v>Agents / Tool Use / Reasoning</x:v>
      </x:c>
      <x:c r="E407" s="17" t="str">
        <x:v>Agents / Reasoning / Tool Use</x:v>
      </x:c>
      <x:c r="F407" s="22" t="str">
        <x:v>English</x:v>
      </x:c>
      <x:c r="G407" s="17" t="str">
        <x:v>Agentic Evaluations Workshop - Deep Dive on the Future on Evals for Agents.</x:v>
      </x:c>
      <x:c r="H407" s="17" t="str">
        <x:v>To be added</x:v>
      </x:c>
      <x:c r="I407" s="17" t="str">
        <x:v>Hugging Face</x:v>
      </x:c>
      <x:c r="J407" s="22" t="str">
        <x:v>Course / Tutorial</x:v>
      </x:c>
      <x:c r="K407" s="23" t="n">
        <x:v>109</x:v>
      </x:c>
      <x:c r="L407" s="16" t="str">
        <x:v>https://www.youtube.com/watch?v=UxMZfbWI3LY</x:v>
      </x:c>
      <x:c r="M407" s="21" t="str">
        <x:v>YouTube</x:v>
      </x:c>
      <x:c r="N407" s="24" t="n">
        <x:v>28467</x:v>
      </x:c>
      <x:c r="O407" s="22" t="str">
        <x:v>A | Official / Original Creator / Organizer</x:v>
      </x:c>
      <x:c r="P407" s="22" t="str">
        <x:v>Core</x:v>
      </x:c>
      <x:c r="Q407" s="22" t="str">
        <x:v>Verified</x:v>
      </x:c>
      <x:c r="R407" s="25" t="n">
        <x:v>46246</x:v>
      </x:c>
      <x:c r="S407" s="17" t="str">
        <x:v>Curated in the targeted ScholarTube expansion; official institution, conference, lab, course, or creator source.</x:v>
      </x:c>
      <x:c r="T407" s="16" t="str">
        <x:v>UxMZfbWI3LY</x:v>
      </x:c>
    </x:row>
    <x:row r="408" ht="42" customHeight="1">
      <x:c r="A408" s="21" t="str">
        <x:v>ST-407</x:v>
      </x:c>
      <x:c r="B408" s="21" t="str">
        <x:v>Course</x:v>
      </x:c>
      <x:c r="C408" s="21" t="str">
        <x:v>Robotics</x:v>
      </x:c>
      <x:c r="D408" s="17" t="str">
        <x:v>Robotics / Embodied AI</x:v>
      </x:c>
      <x:c r="E408" s="17" t="str">
        <x:v>Robot Learning / Embodied AI / Control</x:v>
      </x:c>
      <x:c r="F408" s="22" t="str">
        <x:v>English</x:v>
      </x:c>
      <x:c r="G408" s="17" t="str">
        <x:v>RI Seminar: Oliver Kroemer : Learning Robot Manipulation Skills...</x:v>
      </x:c>
      <x:c r="H408" s="17" t="str">
        <x:v>To be added</x:v>
      </x:c>
      <x:c r="I408" s="17" t="str">
        <x:v>CMU Robotics Institute</x:v>
      </x:c>
      <x:c r="J408" s="22" t="str">
        <x:v>Course / Tutorial</x:v>
      </x:c>
      <x:c r="K408" s="23" t="n">
        <x:v>54</x:v>
      </x:c>
      <x:c r="L408" s="16" t="str">
        <x:v>https://www.youtube.com/watch?v=drCfLNTB0Ro</x:v>
      </x:c>
      <x:c r="M408" s="21" t="str">
        <x:v>YouTube</x:v>
      </x:c>
      <x:c r="N408" s="24" t="n">
        <x:v>2401</x:v>
      </x:c>
      <x:c r="O408" s="22" t="str">
        <x:v>A | Official / Original Creator / Organizer</x:v>
      </x:c>
      <x:c r="P408" s="22" t="str">
        <x:v>Core</x:v>
      </x:c>
      <x:c r="Q408" s="22" t="str">
        <x:v>Verified</x:v>
      </x:c>
      <x:c r="R408" s="25" t="n">
        <x:v>46246</x:v>
      </x:c>
      <x:c r="S408" s="17" t="str">
        <x:v>Curated in the targeted ScholarTube expansion; official institution, conference, lab, course, or creator source.</x:v>
      </x:c>
      <x:c r="T408" s="16" t="str">
        <x:v>drCfLNTB0Ro</x:v>
      </x:c>
    </x:row>
    <x:row r="409" ht="42" customHeight="1">
      <x:c r="A409" s="21" t="str">
        <x:v>ST-408</x:v>
      </x:c>
      <x:c r="B409" s="21" t="str">
        <x:v>Course</x:v>
      </x:c>
      <x:c r="C409" s="21" t="str">
        <x:v>Robotics</x:v>
      </x:c>
      <x:c r="D409" s="17" t="str">
        <x:v>Robotics / Embodied AI</x:v>
      </x:c>
      <x:c r="E409" s="17" t="str">
        <x:v>Robot Learning / Embodied AI / Control</x:v>
      </x:c>
      <x:c r="F409" s="22" t="str">
        <x:v>English</x:v>
      </x:c>
      <x:c r="G409" s="17" t="str">
        <x:v>RI Seminar: Tucker Hermans : Improving Multi-fingered Robot Manipulation...</x:v>
      </x:c>
      <x:c r="H409" s="17" t="str">
        <x:v>To be added</x:v>
      </x:c>
      <x:c r="I409" s="17" t="str">
        <x:v>CMU Robotics Institute</x:v>
      </x:c>
      <x:c r="J409" s="22" t="str">
        <x:v>Course / Tutorial</x:v>
      </x:c>
      <x:c r="K409" s="23" t="n">
        <x:v>54</x:v>
      </x:c>
      <x:c r="L409" s="16" t="str">
        <x:v>https://www.youtube.com/watch?v=xgijLJIKgds</x:v>
      </x:c>
      <x:c r="M409" s="21" t="str">
        <x:v>YouTube</x:v>
      </x:c>
      <x:c r="N409" s="24" t="n">
        <x:v>1166</x:v>
      </x:c>
      <x:c r="O409" s="22" t="str">
        <x:v>A | Official / Original Creator / Organizer</x:v>
      </x:c>
      <x:c r="P409" s="22" t="str">
        <x:v>Core</x:v>
      </x:c>
      <x:c r="Q409" s="22" t="str">
        <x:v>Verified</x:v>
      </x:c>
      <x:c r="R409" s="25" t="n">
        <x:v>46246</x:v>
      </x:c>
      <x:c r="S409" s="17" t="str">
        <x:v>Curated in the targeted ScholarTube expansion; official institution, conference, lab, course, or creator source.</x:v>
      </x:c>
      <x:c r="T409" s="16" t="str">
        <x:v>xgijLJIKgds</x:v>
      </x:c>
    </x:row>
    <x:row r="410" ht="42" customHeight="1">
      <x:c r="A410" s="21" t="str">
        <x:v>ST-409</x:v>
      </x:c>
      <x:c r="B410" s="21" t="str">
        <x:v>Talk</x:v>
      </x:c>
      <x:c r="C410" s="21" t="str">
        <x:v>Robotics</x:v>
      </x:c>
      <x:c r="D410" s="17" t="str">
        <x:v>Robotics / Embodied AI</x:v>
      </x:c>
      <x:c r="E410" s="17" t="str">
        <x:v>Robot Learning / Embodied AI / Control</x:v>
      </x:c>
      <x:c r="F410" s="22" t="str">
        <x:v>English</x:v>
      </x:c>
      <x:c r="G410" s="17" t="str">
        <x:v>The Impact of AI on Robotics - Daniela Rus | Lecture Series on AI #1 | J.P. Morgan</x:v>
      </x:c>
      <x:c r="H410" s="17" t="str">
        <x:v>Daniela Rus</x:v>
      </x:c>
      <x:c r="I410" s="17" t="str">
        <x:v>jpmorgan</x:v>
      </x:c>
      <x:c r="J410" s="22" t="str">
        <x:v>Academic Talk / Research Seminar</x:v>
      </x:c>
      <x:c r="K410" s="23" t="n">
        <x:v>52</x:v>
      </x:c>
      <x:c r="L410" s="16" t="str">
        <x:v>https://www.youtube.com/watch?v=HdYbPENQbIE</x:v>
      </x:c>
      <x:c r="M410" s="21" t="str">
        <x:v>YouTube</x:v>
      </x:c>
      <x:c r="N410" s="24" t="n">
        <x:v>1109</x:v>
      </x:c>
      <x:c r="O410" s="22" t="str">
        <x:v>B | University / Conference / Institution</x:v>
      </x:c>
      <x:c r="P410" s="22" t="str">
        <x:v>Recommended</x:v>
      </x:c>
      <x:c r="Q410" s="22" t="str">
        <x:v>Verified</x:v>
      </x:c>
      <x:c r="R410" s="25" t="n">
        <x:v>46246</x:v>
      </x:c>
      <x:c r="S410" s="17" t="str">
        <x:v>Curated in the targeted ScholarTube expansion; public metadata accessible and editorially reviewed.</x:v>
      </x:c>
      <x:c r="T410" s="16" t="str">
        <x:v>HdYbPENQbIE</x:v>
      </x:c>
    </x:row>
    <x:row r="411" ht="42" customHeight="1">
      <x:c r="A411" s="21" t="str">
        <x:v>ST-410</x:v>
      </x:c>
      <x:c r="B411" s="21" t="str">
        <x:v>Interview</x:v>
      </x:c>
      <x:c r="C411" s="21" t="str">
        <x:v>Agent</x:v>
      </x:c>
      <x:c r="D411" s="17" t="str">
        <x:v>Agents / Tool Use / Reasoning</x:v>
      </x:c>
      <x:c r="E411" s="17" t="str">
        <x:v>Agents / Reasoning / Tool Use</x:v>
      </x:c>
      <x:c r="F411" s="22" t="str">
        <x:v>English</x:v>
      </x:c>
      <x:c r="G411" s="17" t="str">
        <x:v>DSPy: Transforming Language Model Calls into Smart Pipelines // Omar Khattab // MLOps Podcast #194</x:v>
      </x:c>
      <x:c r="H411" s="17" t="str">
        <x:v>Omar Khattab</x:v>
      </x:c>
      <x:c r="I411" s="17" t="str">
        <x:v>AAIF Live</x:v>
      </x:c>
      <x:c r="J411" s="22" t="str">
        <x:v>Podcast Interview</x:v>
      </x:c>
      <x:c r="K411" s="23" t="n">
        <x:v>66</x:v>
      </x:c>
      <x:c r="L411" s="16" t="str">
        <x:v>https://www.youtube.com/watch?v=NoaDWKHdkHg</x:v>
      </x:c>
      <x:c r="M411" s="21" t="str">
        <x:v>YouTube</x:v>
      </x:c>
      <x:c r="N411" s="24" t="n">
        <x:v>10224</x:v>
      </x:c>
      <x:c r="O411" s="22" t="str">
        <x:v>B | University / Conference / Institution</x:v>
      </x:c>
      <x:c r="P411" s="22" t="str">
        <x:v>Recommended</x:v>
      </x:c>
      <x:c r="Q411" s="22" t="str">
        <x:v>Verified</x:v>
      </x:c>
      <x:c r="R411" s="25" t="n">
        <x:v>46246</x:v>
      </x:c>
      <x:c r="S411" s="17" t="str">
        <x:v>Curated in the targeted ScholarTube expansion; public metadata accessible and editorially reviewed.</x:v>
      </x:c>
      <x:c r="T411" s="16" t="str">
        <x:v>NoaDWKHdkHg</x:v>
      </x:c>
    </x:row>
    <x:row r="412" ht="42" customHeight="1">
      <x:c r="A412" s="21" t="str">
        <x:v>ST-411</x:v>
      </x:c>
      <x:c r="B412" s="21" t="str">
        <x:v>Talk</x:v>
      </x:c>
      <x:c r="C412" s="21" t="str">
        <x:v>Vision</x:v>
      </x:c>
      <x:c r="D412" s="17" t="str">
        <x:v>Computer Vision / 3D Vision</x:v>
      </x:c>
      <x:c r="E412" s="17" t="str">
        <x:v>Computer Vision / 3D Vision / Representation Learning</x:v>
      </x:c>
      <x:c r="F412" s="22" t="str">
        <x:v>English</x:v>
      </x:c>
      <x:c r="G412" s="17" t="str">
        <x:v>3DGV Seminar: Georgia Gkioxari -- Recognizing Objects and Scenes in 3D</x:v>
      </x:c>
      <x:c r="H412" s="17" t="str">
        <x:v>Georgia Gkioxari</x:v>
      </x:c>
      <x:c r="I412" s="17" t="str">
        <x:v>3DGV Seminar</x:v>
      </x:c>
      <x:c r="J412" s="22" t="str">
        <x:v>Academic Talk / Research Seminar</x:v>
      </x:c>
      <x:c r="K412" s="23" t="n">
        <x:v>87</x:v>
      </x:c>
      <x:c r="L412" s="16" t="str">
        <x:v>https://www.youtube.com/watch?v=gXLpy3jd2mQ</x:v>
      </x:c>
      <x:c r="M412" s="21" t="str">
        <x:v>YouTube</x:v>
      </x:c>
      <x:c r="N412" s="24" t="n">
        <x:v>2032</x:v>
      </x:c>
      <x:c r="O412" s="22" t="str">
        <x:v>A | Official / Original Creator / Organizer</x:v>
      </x:c>
      <x:c r="P412" s="22" t="str">
        <x:v>Core</x:v>
      </x:c>
      <x:c r="Q412" s="22" t="str">
        <x:v>Verified</x:v>
      </x:c>
      <x:c r="R412" s="25" t="n">
        <x:v>46246</x:v>
      </x:c>
      <x:c r="S412" s="17" t="str">
        <x:v>Curated in the targeted ScholarTube expansion; official institution, conference, lab, course, or creator source.</x:v>
      </x:c>
      <x:c r="T412" s="16" t="str">
        <x:v>gXLpy3jd2mQ</x:v>
      </x:c>
    </x:row>
    <x:row r="413" ht="42" customHeight="1">
      <x:c r="A413" s="21" t="str">
        <x:v>ST-412</x:v>
      </x:c>
      <x:c r="B413" s="21" t="str">
        <x:v>Talk</x:v>
      </x:c>
      <x:c r="C413" s="21" t="str">
        <x:v>World Model</x:v>
      </x:c>
      <x:c r="D413" s="17" t="str">
        <x:v>World Models / Predictive Intelligence</x:v>
      </x:c>
      <x:c r="E413" s="17" t="str">
        <x:v>World Models / JEPA / Spatial Intelligence</x:v>
      </x:c>
      <x:c r="F413" s="22" t="str">
        <x:v>English</x:v>
      </x:c>
      <x:c r="G413" s="17" t="str">
        <x:v>KEYNOTE David Ha</x:v>
      </x:c>
      <x:c r="H413" s="17" t="str">
        <x:v>David Ha</x:v>
      </x:c>
      <x:c r="I413" s="17" t="str">
        <x:v>The Conference on Artificial Life</x:v>
      </x:c>
      <x:c r="J413" s="22" t="str">
        <x:v>Academic Talk / Research Seminar</x:v>
      </x:c>
      <x:c r="K413" s="23" t="n">
        <x:v>57</x:v>
      </x:c>
      <x:c r="L413" s="16" t="str">
        <x:v>https://www.youtube.com/watch?v=m8POyrJ7Pgg</x:v>
      </x:c>
      <x:c r="M413" s="21" t="str">
        <x:v>YouTube</x:v>
      </x:c>
      <x:c r="N413" s="24" t="n">
        <x:v>1586</x:v>
      </x:c>
      <x:c r="O413" s="22" t="str">
        <x:v>A | Official / Original Creator / Organizer</x:v>
      </x:c>
      <x:c r="P413" s="22" t="str">
        <x:v>Core</x:v>
      </x:c>
      <x:c r="Q413" s="22" t="str">
        <x:v>Verified</x:v>
      </x:c>
      <x:c r="R413" s="25" t="n">
        <x:v>46246</x:v>
      </x:c>
      <x:c r="S413" s="17" t="str">
        <x:v>Curated in the targeted ScholarTube expansion; official institution, conference, lab, course, or creator source.</x:v>
      </x:c>
      <x:c r="T413" s="16" t="str">
        <x:v>m8POyrJ7Pgg</x:v>
      </x:c>
    </x:row>
    <x:row r="414" ht="42" customHeight="1">
      <x:c r="A414" s="21" t="str">
        <x:v>ST-413</x:v>
      </x:c>
      <x:c r="B414" s="21" t="str">
        <x:v>Talk</x:v>
      </x:c>
      <x:c r="C414" s="21" t="str">
        <x:v>Agent</x:v>
      </x:c>
      <x:c r="D414" s="17" t="str">
        <x:v>Agents / Tool Use / Reasoning</x:v>
      </x:c>
      <x:c r="E414" s="17" t="str">
        <x:v>Agents / Reasoning / Tool Use</x:v>
      </x:c>
      <x:c r="F414" s="22" t="str">
        <x:v>English</x:v>
      </x:c>
      <x:c r="G414" s="17" t="str">
        <x:v>I-X Seminar: Formulating and Evaluating Language Agents with Shunyu Yao</x:v>
      </x:c>
      <x:c r="H414" s="17" t="str">
        <x:v>Shunyu Yao</x:v>
      </x:c>
      <x:c r="I414" s="17" t="str">
        <x:v>I-X</x:v>
      </x:c>
      <x:c r="J414" s="22" t="str">
        <x:v>Academic Talk / Research Seminar</x:v>
      </x:c>
      <x:c r="K414" s="23" t="n">
        <x:v>56</x:v>
      </x:c>
      <x:c r="L414" s="16" t="str">
        <x:v>https://www.youtube.com/watch?v=qmGu9okiICU</x:v>
      </x:c>
      <x:c r="M414" s="21" t="str">
        <x:v>YouTube</x:v>
      </x:c>
      <x:c r="N414" s="24" t="n">
        <x:v>3458</x:v>
      </x:c>
      <x:c r="O414" s="22" t="str">
        <x:v>B | University / Conference / Institution</x:v>
      </x:c>
      <x:c r="P414" s="22" t="str">
        <x:v>Recommended</x:v>
      </x:c>
      <x:c r="Q414" s="22" t="str">
        <x:v>Verified</x:v>
      </x:c>
      <x:c r="R414" s="25" t="n">
        <x:v>46246</x:v>
      </x:c>
      <x:c r="S414" s="17" t="str">
        <x:v>Curated in the targeted ScholarTube expansion; public metadata accessible and editorially reviewed.</x:v>
      </x:c>
      <x:c r="T414" s="16" t="str">
        <x:v>qmGu9okiICU</x:v>
      </x:c>
    </x:row>
    <x:row r="415" ht="42" customHeight="1">
      <x:c r="A415" s="21" t="str">
        <x:v>ST-414</x:v>
      </x:c>
      <x:c r="B415" s="21" t="str">
        <x:v>Talk</x:v>
      </x:c>
      <x:c r="C415" s="21" t="str">
        <x:v>Vision</x:v>
      </x:c>
      <x:c r="D415" s="17" t="str">
        <x:v>Computer Vision / 3D Vision</x:v>
      </x:c>
      <x:c r="E415" s="17" t="str">
        <x:v>Computer Vision / 3D Vision / Representation Learning</x:v>
      </x:c>
      <x:c r="F415" s="22" t="str">
        <x:v>English</x:v>
      </x:c>
      <x:c r="G415" s="17" t="str">
        <x:v>Alexei Efros. Lecture "Self-Supervised Visual Learning and Synthesis"</x:v>
      </x:c>
      <x:c r="H415" s="17" t="str">
        <x:v>Alexei Efros</x:v>
      </x:c>
      <x:c r="I415" s="17" t="str">
        <x:v>Strelka Institute/Институт Стрелка</x:v>
      </x:c>
      <x:c r="J415" s="22" t="str">
        <x:v>Academic Talk / Research Seminar</x:v>
      </x:c>
      <x:c r="K415" s="23" t="n">
        <x:v>51</x:v>
      </x:c>
      <x:c r="L415" s="16" t="str">
        <x:v>https://www.youtube.com/watch?v=0zCMiOQ8C1U</x:v>
      </x:c>
      <x:c r="M415" s="21" t="str">
        <x:v>YouTube</x:v>
      </x:c>
      <x:c r="N415" s="24" t="n">
        <x:v>2650</x:v>
      </x:c>
      <x:c r="O415" s="22" t="str">
        <x:v>A | Official / Original Creator / Organizer</x:v>
      </x:c>
      <x:c r="P415" s="22" t="str">
        <x:v>Core</x:v>
      </x:c>
      <x:c r="Q415" s="22" t="str">
        <x:v>Verified</x:v>
      </x:c>
      <x:c r="R415" s="25" t="n">
        <x:v>46246</x:v>
      </x:c>
      <x:c r="S415" s="17" t="str">
        <x:v>Curated in the targeted ScholarTube expansion; official institution, conference, lab, course, or creator source.</x:v>
      </x:c>
      <x:c r="T415" s="16" t="str">
        <x:v>0zCMiOQ8C1U</x:v>
      </x:c>
    </x:row>
    <x:row r="416" ht="42" customHeight="1">
      <x:c r="A416" s="21" t="str">
        <x:v>ST-415</x:v>
      </x:c>
      <x:c r="B416" s="21" t="str">
        <x:v>Talk</x:v>
      </x:c>
      <x:c r="C416" s="21" t="str">
        <x:v>Robotics</x:v>
      </x:c>
      <x:c r="D416" s="17" t="str">
        <x:v>Robotics / Embodied AI</x:v>
      </x:c>
      <x:c r="E416" s="17" t="str">
        <x:v>Robot Learning / Embodied AI / Control</x:v>
      </x:c>
      <x:c r="F416" s="22" t="str">
        <x:v>English</x:v>
      </x:c>
      <x:c r="G416" s="17" t="str">
        <x:v>Representation Learning for Robotics | A Talk by Lerrel Pinto</x:v>
      </x:c>
      <x:c r="H416" s="17" t="str">
        <x:v>Lerrel Pinto</x:v>
      </x:c>
      <x:c r="I416" s="17" t="str">
        <x:v>IITG AI</x:v>
      </x:c>
      <x:c r="J416" s="22" t="str">
        <x:v>Academic Talk / Research Seminar</x:v>
      </x:c>
      <x:c r="K416" s="23" t="n">
        <x:v>67</x:v>
      </x:c>
      <x:c r="L416" s="16" t="str">
        <x:v>https://www.youtube.com/watch?v=rWiFftOaALs</x:v>
      </x:c>
      <x:c r="M416" s="21" t="str">
        <x:v>YouTube</x:v>
      </x:c>
      <x:c r="N416" s="24" t="n">
        <x:v>478</x:v>
      </x:c>
      <x:c r="O416" s="22" t="str">
        <x:v>B | University / Conference / Institution</x:v>
      </x:c>
      <x:c r="P416" s="22" t="str">
        <x:v>Recommended</x:v>
      </x:c>
      <x:c r="Q416" s="22" t="str">
        <x:v>Verified</x:v>
      </x:c>
      <x:c r="R416" s="25" t="n">
        <x:v>46246</x:v>
      </x:c>
      <x:c r="S416" s="17" t="str">
        <x:v>Curated in the targeted ScholarTube expansion; public metadata accessible and editorially reviewed.</x:v>
      </x:c>
      <x:c r="T416" s="16" t="str">
        <x:v>rWiFftOaALs</x:v>
      </x:c>
    </x:row>
    <x:row r="417" ht="42" customHeight="1">
      <x:c r="A417" s="21" t="str">
        <x:v>ST-416</x:v>
      </x:c>
      <x:c r="B417" s="21" t="str">
        <x:v>Talk</x:v>
      </x:c>
      <x:c r="C417" s="21" t="str">
        <x:v>Robotics</x:v>
      </x:c>
      <x:c r="D417" s="17" t="str">
        <x:v>Robotics / Embodied AI</x:v>
      </x:c>
      <x:c r="E417" s="17" t="str">
        <x:v>Robot Learning / Embodied AI / Control</x:v>
      </x:c>
      <x:c r="F417" s="22" t="str">
        <x:v>English</x:v>
      </x:c>
      <x:c r="G417" s="17" t="str">
        <x:v>DRL Workshop: Deepak Pathak &amp; Natasha Jaques</x:v>
      </x:c>
      <x:c r="H417" s="17" t="str">
        <x:v>Deepak Pathak</x:v>
      </x:c>
      <x:c r="I417" s="17" t="str">
        <x:v>RTG Computational Cognition</x:v>
      </x:c>
      <x:c r="J417" s="22" t="str">
        <x:v>Academic Talk / Research Seminar</x:v>
      </x:c>
      <x:c r="K417" s="23" t="n">
        <x:v>121</x:v>
      </x:c>
      <x:c r="L417" s="16" t="str">
        <x:v>https://www.youtube.com/watch?v=G__GZKNhvsU</x:v>
      </x:c>
      <x:c r="M417" s="21" t="str">
        <x:v>YouTube</x:v>
      </x:c>
      <x:c r="N417" s="24" t="n">
        <x:v>1313</x:v>
      </x:c>
      <x:c r="O417" s="22" t="str">
        <x:v>B | University / Conference / Institution</x:v>
      </x:c>
      <x:c r="P417" s="22" t="str">
        <x:v>Recommended</x:v>
      </x:c>
      <x:c r="Q417" s="22" t="str">
        <x:v>Verified</x:v>
      </x:c>
      <x:c r="R417" s="25" t="n">
        <x:v>46246</x:v>
      </x:c>
      <x:c r="S417" s="17" t="str">
        <x:v>Curated in the targeted ScholarTube expansion; public metadata accessible and editorially reviewed.</x:v>
      </x:c>
      <x:c r="T417" s="16" t="str">
        <x:v>G__GZKNhvsU</x:v>
      </x:c>
    </x:row>
    <x:row r="418" ht="42" customHeight="1">
      <x:c r="A418" s="21" t="str">
        <x:v>ST-417</x:v>
      </x:c>
      <x:c r="B418" s="21" t="str">
        <x:v>Talk</x:v>
      </x:c>
      <x:c r="C418" s="21" t="str">
        <x:v>Robotics</x:v>
      </x:c>
      <x:c r="D418" s="17" t="str">
        <x:v>Robotics / Embodied AI</x:v>
      </x:c>
      <x:c r="E418" s="17" t="str">
        <x:v>Robot Learning / Embodied AI / Control</x:v>
      </x:c>
      <x:c r="F418" s="22" t="str">
        <x:v>English</x:v>
      </x:c>
      <x:c r="G418" s="17" t="str">
        <x:v>Autonomy Talks - Deepak Pathak: Robotics In The Wild: Continual Improvement by Watching &amp; Practicing</x:v>
      </x:c>
      <x:c r="H418" s="17" t="str">
        <x:v>Deepak Pathak</x:v>
      </x:c>
      <x:c r="I418" s="17" t="str">
        <x:v>Autonomy Talks</x:v>
      </x:c>
      <x:c r="J418" s="22" t="str">
        <x:v>Academic Talk / Research Seminar</x:v>
      </x:c>
      <x:c r="K418" s="23" t="n">
        <x:v>69</x:v>
      </x:c>
      <x:c r="L418" s="16" t="str">
        <x:v>https://www.youtube.com/watch?v=mBkbnQoknr8</x:v>
      </x:c>
      <x:c r="M418" s="21" t="str">
        <x:v>YouTube</x:v>
      </x:c>
      <x:c r="N418" s="24" t="n">
        <x:v>1846</x:v>
      </x:c>
      <x:c r="O418" s="22" t="str">
        <x:v>A | Official / Original Creator / Organizer</x:v>
      </x:c>
      <x:c r="P418" s="22" t="str">
        <x:v>Core</x:v>
      </x:c>
      <x:c r="Q418" s="22" t="str">
        <x:v>Verified</x:v>
      </x:c>
      <x:c r="R418" s="25" t="n">
        <x:v>46246</x:v>
      </x:c>
      <x:c r="S418" s="17" t="str">
        <x:v>Curated in the targeted ScholarTube expansion; official institution, conference, lab, course, or creator source.</x:v>
      </x:c>
      <x:c r="T418" s="16" t="str">
        <x:v>mBkbnQoknr8</x:v>
      </x:c>
    </x:row>
    <x:row r="419" ht="42" customHeight="1">
      <x:c r="A419" s="21" t="str">
        <x:v>ST-418</x:v>
      </x:c>
      <x:c r="B419" s="21" t="str">
        <x:v>Talk</x:v>
      </x:c>
      <x:c r="C419" s="21" t="str">
        <x:v>Vision</x:v>
      </x:c>
      <x:c r="D419" s="17" t="str">
        <x:v>Computer Vision / 3D Vision</x:v>
      </x:c>
      <x:c r="E419" s="17" t="str">
        <x:v>Computer Vision / 3D Vision / Representation Learning</x:v>
      </x:c>
      <x:c r="F419" s="22" t="str">
        <x:v>English</x:v>
      </x:c>
      <x:c r="G419" s="17" t="str">
        <x:v>TUM AI Lecture Series - On Removing Supervision from Contrastive Self-Supervised... (Alexei Efros)</x:v>
      </x:c>
      <x:c r="H419" s="17" t="str">
        <x:v>Alexei Efros</x:v>
      </x:c>
      <x:c r="I419" s="17" t="str">
        <x:v>Matthias Niessner</x:v>
      </x:c>
      <x:c r="J419" s="22" t="str">
        <x:v>Academic Talk / Research Seminar</x:v>
      </x:c>
      <x:c r="K419" s="23" t="n">
        <x:v>77</x:v>
      </x:c>
      <x:c r="L419" s="16" t="str">
        <x:v>https://www.youtube.com/watch?v=VBQti3kNqiI</x:v>
      </x:c>
      <x:c r="M419" s="21" t="str">
        <x:v>YouTube</x:v>
      </x:c>
      <x:c r="N419" s="24" t="n">
        <x:v>7356</x:v>
      </x:c>
      <x:c r="O419" s="22" t="str">
        <x:v>A | Official / Original Creator / Organizer</x:v>
      </x:c>
      <x:c r="P419" s="22" t="str">
        <x:v>Core</x:v>
      </x:c>
      <x:c r="Q419" s="22" t="str">
        <x:v>Verified</x:v>
      </x:c>
      <x:c r="R419" s="25" t="n">
        <x:v>46246</x:v>
      </x:c>
      <x:c r="S419" s="17" t="str">
        <x:v>Curated in the targeted ScholarTube expansion; official institution, conference, lab, course, or creator source.</x:v>
      </x:c>
      <x:c r="T419" s="16" t="str">
        <x:v>VBQti3kNqiI</x:v>
      </x:c>
    </x:row>
    <x:row r="420" ht="42" customHeight="1">
      <x:c r="A420" s="21" t="str">
        <x:v>ST-419</x:v>
      </x:c>
      <x:c r="B420" s="21" t="str">
        <x:v>Talk</x:v>
      </x:c>
      <x:c r="C420" s="21" t="str">
        <x:v>Vision</x:v>
      </x:c>
      <x:c r="D420" s="17" t="str">
        <x:v>Computer Vision / 3D Vision</x:v>
      </x:c>
      <x:c r="E420" s="17" t="str">
        <x:v>Computer Vision / 3D Vision / Representation Learning</x:v>
      </x:c>
      <x:c r="F420" s="22" t="str">
        <x:v>English</x:v>
      </x:c>
      <x:c r="G420" s="17" t="str">
        <x:v>TUM AI Lecture Series - Learning Representations and Geometry from Unlabeled Videos (Andrea Vedaldi)</x:v>
      </x:c>
      <x:c r="H420" s="17" t="str">
        <x:v>Andrea Vedaldi</x:v>
      </x:c>
      <x:c r="I420" s="17" t="str">
        <x:v>Matthias Niessner</x:v>
      </x:c>
      <x:c r="J420" s="22" t="str">
        <x:v>Academic Talk / Research Seminar</x:v>
      </x:c>
      <x:c r="K420" s="23" t="n">
        <x:v>68</x:v>
      </x:c>
      <x:c r="L420" s="16" t="str">
        <x:v>https://www.youtube.com/watch?v=fVWQGHjRzNU</x:v>
      </x:c>
      <x:c r="M420" s="21" t="str">
        <x:v>YouTube</x:v>
      </x:c>
      <x:c r="N420" s="24" t="n">
        <x:v>2640</x:v>
      </x:c>
      <x:c r="O420" s="22" t="str">
        <x:v>A | Official / Original Creator / Organizer</x:v>
      </x:c>
      <x:c r="P420" s="22" t="str">
        <x:v>Core</x:v>
      </x:c>
      <x:c r="Q420" s="22" t="str">
        <x:v>Verified</x:v>
      </x:c>
      <x:c r="R420" s="25" t="n">
        <x:v>46246</x:v>
      </x:c>
      <x:c r="S420" s="17" t="str">
        <x:v>Curated in the targeted ScholarTube expansion; official institution, conference, lab, course, or creator source.</x:v>
      </x:c>
      <x:c r="T420" s="16" t="str">
        <x:v>fVWQGHjRzNU</x:v>
      </x:c>
    </x:row>
    <x:row r="421" ht="42" customHeight="1">
      <x:c r="A421" s="21" t="str">
        <x:v>ST-420</x:v>
      </x:c>
      <x:c r="B421" s="21" t="str">
        <x:v>Talk</x:v>
      </x:c>
      <x:c r="C421" s="21" t="str">
        <x:v>Vision</x:v>
      </x:c>
      <x:c r="D421" s="17" t="str">
        <x:v>Computer Vision / 3D Vision</x:v>
      </x:c>
      <x:c r="E421" s="17" t="str">
        <x:v>Computer Vision / 3D Vision / Representation Learning</x:v>
      </x:c>
      <x:c r="F421" s="22" t="str">
        <x:v>English</x:v>
      </x:c>
      <x:c r="G421" s="17" t="str">
        <x:v>3DV 2024 Keynote - Andrea Vedaldi - 19.03.2024</x:v>
      </x:c>
      <x:c r="H421" s="17" t="str">
        <x:v>Andrea Vedaldi</x:v>
      </x:c>
      <x:c r="I421" s="17" t="str">
        <x:v>3DV2024</x:v>
      </x:c>
      <x:c r="J421" s="22" t="str">
        <x:v>Academic Talk / Research Seminar</x:v>
      </x:c>
      <x:c r="K421" s="23" t="n">
        <x:v>65</x:v>
      </x:c>
      <x:c r="L421" s="16" t="str">
        <x:v>https://www.youtube.com/watch?v=Ctog9wVyp-M</x:v>
      </x:c>
      <x:c r="M421" s="21" t="str">
        <x:v>YouTube</x:v>
      </x:c>
      <x:c r="N421" s="24" t="n">
        <x:v>1222</x:v>
      </x:c>
      <x:c r="O421" s="22" t="str">
        <x:v>A | Official / Original Creator / Organizer</x:v>
      </x:c>
      <x:c r="P421" s="22" t="str">
        <x:v>Core</x:v>
      </x:c>
      <x:c r="Q421" s="22" t="str">
        <x:v>Verified</x:v>
      </x:c>
      <x:c r="R421" s="25" t="n">
        <x:v>46246</x:v>
      </x:c>
      <x:c r="S421" s="17" t="str">
        <x:v>Curated in the targeted ScholarTube expansion; official institution, conference, lab, course, or creator source.</x:v>
      </x:c>
      <x:c r="T421" s="16" t="str">
        <x:v>Ctog9wVyp-M</x:v>
      </x:c>
    </x:row>
    <x:row r="422" ht="42" customHeight="1">
      <x:c r="A422" s="21" t="str">
        <x:v>ST-421</x:v>
      </x:c>
      <x:c r="B422" s="21" t="str">
        <x:v>Interview</x:v>
      </x:c>
      <x:c r="C422" s="21" t="str">
        <x:v>Agent</x:v>
      </x:c>
      <x:c r="D422" s="17" t="str">
        <x:v>Agents / Tool Use / Reasoning</x:v>
      </x:c>
      <x:c r="E422" s="17" t="str">
        <x:v>Agents / Reasoning / Tool Use</x:v>
      </x:c>
      <x:c r="F422" s="22" t="str">
        <x:v>English</x:v>
      </x:c>
      <x:c r="G422" s="17" t="str">
        <x:v>DSPy and ColBERT with Omar Khattab! - Weaviate Podcast #85</x:v>
      </x:c>
      <x:c r="H422" s="17" t="str">
        <x:v>Omar Khattab</x:v>
      </x:c>
      <x:c r="I422" s="17" t="str">
        <x:v>Weaviate vector database</x:v>
      </x:c>
      <x:c r="J422" s="22" t="str">
        <x:v>Podcast Interview</x:v>
      </x:c>
      <x:c r="K422" s="23" t="n">
        <x:v>31</x:v>
      </x:c>
      <x:c r="L422" s="16" t="str">
        <x:v>https://www.youtube.com/watch?v=CDung1LnLbY</x:v>
      </x:c>
      <x:c r="M422" s="21" t="str">
        <x:v>YouTube</x:v>
      </x:c>
      <x:c r="N422" s="24" t="n">
        <x:v>7789</x:v>
      </x:c>
      <x:c r="O422" s="22" t="str">
        <x:v>B | University / Conference / Institution</x:v>
      </x:c>
      <x:c r="P422" s="22" t="str">
        <x:v>Recommended</x:v>
      </x:c>
      <x:c r="Q422" s="22" t="str">
        <x:v>Verified</x:v>
      </x:c>
      <x:c r="R422" s="25" t="n">
        <x:v>46246</x:v>
      </x:c>
      <x:c r="S422" s="17" t="str">
        <x:v>Curated in the targeted ScholarTube expansion; public metadata accessible and editorially reviewed.</x:v>
      </x:c>
      <x:c r="T422" s="16" t="str">
        <x:v>CDung1LnLbY</x:v>
      </x:c>
    </x:row>
    <x:row r="423" ht="42" customHeight="1">
      <x:c r="A423" s="21" t="str">
        <x:v>ST-422</x:v>
      </x:c>
      <x:c r="B423" s="21" t="str">
        <x:v>Course</x:v>
      </x:c>
      <x:c r="C423" s="21" t="str">
        <x:v>Agent</x:v>
      </x:c>
      <x:c r="D423" s="17" t="str">
        <x:v>Agents / Tool Use / Reasoning</x:v>
      </x:c>
      <x:c r="E423" s="17" t="str">
        <x:v>Agents / Reasoning / Tool Use</x:v>
      </x:c>
      <x:c r="F423" s="22" t="str">
        <x:v>English</x:v>
      </x:c>
      <x:c r="G423" s="17" t="str">
        <x:v>Learn RAG From Scratch – Python AI Tutorial from a LangChain Engineer</x:v>
      </x:c>
      <x:c r="H423" s="17" t="str">
        <x:v>To be added</x:v>
      </x:c>
      <x:c r="I423" s="17" t="str">
        <x:v>freeCodeCamp.org</x:v>
      </x:c>
      <x:c r="J423" s="22" t="str">
        <x:v>Course / Tutorial</x:v>
      </x:c>
      <x:c r="K423" s="23" t="n">
        <x:v>153</x:v>
      </x:c>
      <x:c r="L423" s="16" t="str">
        <x:v>https://www.youtube.com/watch?v=sVcwVQRHIc8</x:v>
      </x:c>
      <x:c r="M423" s="21" t="str">
        <x:v>YouTube</x:v>
      </x:c>
      <x:c r="N423" s="24" t="n">
        <x:v>1518060</x:v>
      </x:c>
      <x:c r="O423" s="22" t="str">
        <x:v>B | University / Conference / Institution</x:v>
      </x:c>
      <x:c r="P423" s="22" t="str">
        <x:v>Recommended</x:v>
      </x:c>
      <x:c r="Q423" s="22" t="str">
        <x:v>Verified</x:v>
      </x:c>
      <x:c r="R423" s="25" t="n">
        <x:v>46246</x:v>
      </x:c>
      <x:c r="S423" s="17" t="str">
        <x:v>Curated in the targeted ScholarTube expansion; public metadata accessible and editorially reviewed.</x:v>
      </x:c>
      <x:c r="T423" s="16" t="str">
        <x:v>sVcwVQRHIc8</x:v>
      </x:c>
    </x:row>
    <x:row r="424" ht="42" customHeight="1">
      <x:c r="A424" s="21" t="str">
        <x:v>ST-423</x:v>
      </x:c>
      <x:c r="B424" s="21" t="str">
        <x:v>Talk</x:v>
      </x:c>
      <x:c r="C424" s="21" t="str">
        <x:v>Agent</x:v>
      </x:c>
      <x:c r="D424" s="17" t="str">
        <x:v>Agents / Tool Use / Reasoning</x:v>
      </x:c>
      <x:c r="E424" s="17" t="str">
        <x:v>Agents / Reasoning / Tool Use</x:v>
      </x:c>
      <x:c r="F424" s="22" t="str">
        <x:v>English</x:v>
      </x:c>
      <x:c r="G424" s="17" t="str">
        <x:v>Designing Reliable AI Systems with DSPy | Neural Search Talks: Omar Khattab</x:v>
      </x:c>
      <x:c r="H424" s="17" t="str">
        <x:v>Omar Khattab</x:v>
      </x:c>
      <x:c r="I424" s="17" t="str">
        <x:v>Zeta Alpha</x:v>
      </x:c>
      <x:c r="J424" s="22" t="str">
        <x:v>Academic Talk / Research Seminar</x:v>
      </x:c>
      <x:c r="K424" s="23" t="n">
        <x:v>60</x:v>
      </x:c>
      <x:c r="L424" s="16" t="str">
        <x:v>https://www.youtube.com/watch?v=Lba_MBZsR5s</x:v>
      </x:c>
      <x:c r="M424" s="21" t="str">
        <x:v>YouTube</x:v>
      </x:c>
      <x:c r="N424" s="24" t="n">
        <x:v>1026</x:v>
      </x:c>
      <x:c r="O424" s="22" t="str">
        <x:v>B | University / Conference / Institution</x:v>
      </x:c>
      <x:c r="P424" s="22" t="str">
        <x:v>Recommended</x:v>
      </x:c>
      <x:c r="Q424" s="22" t="str">
        <x:v>Verified</x:v>
      </x:c>
      <x:c r="R424" s="25" t="n">
        <x:v>46246</x:v>
      </x:c>
      <x:c r="S424" s="17" t="str">
        <x:v>Curated in the targeted ScholarTube expansion; public metadata accessible and editorially reviewed.</x:v>
      </x:c>
      <x:c r="T424" s="16" t="str">
        <x:v>Lba_MBZsR5s</x:v>
      </x:c>
    </x:row>
    <x:row r="425" ht="42" customHeight="1">
      <x:c r="A425" s="21" t="str">
        <x:v>ST-424</x:v>
      </x:c>
      <x:c r="B425" s="21" t="str">
        <x:v>Talk</x:v>
      </x:c>
      <x:c r="C425" s="21" t="str">
        <x:v>Agent</x:v>
      </x:c>
      <x:c r="D425" s="17" t="str">
        <x:v>Agents / Tool Use / Reasoning</x:v>
      </x:c>
      <x:c r="E425" s="17" t="str">
        <x:v>Agents / Reasoning / Tool Use</x:v>
      </x:c>
      <x:c r="F425" s="22" t="str">
        <x:v>English</x:v>
      </x:c>
      <x:c r="G425" s="17" t="str">
        <x:v>Interrupt 2025 Keynote | Harrison Chase | LangChain</x:v>
      </x:c>
      <x:c r="H425" s="17" t="str">
        <x:v>Harrison Chase</x:v>
      </x:c>
      <x:c r="I425" s="17" t="str">
        <x:v>LangChain</x:v>
      </x:c>
      <x:c r="J425" s="22" t="str">
        <x:v>Academic Talk / Research Seminar</x:v>
      </x:c>
      <x:c r="K425" s="23" t="n">
        <x:v>23</x:v>
      </x:c>
      <x:c r="L425" s="16" t="str">
        <x:v>https://www.youtube.com/watch?v=DrygcOI-kG8</x:v>
      </x:c>
      <x:c r="M425" s="21" t="str">
        <x:v>YouTube</x:v>
      </x:c>
      <x:c r="N425" s="24" t="n">
        <x:v>56797</x:v>
      </x:c>
      <x:c r="O425" s="22" t="str">
        <x:v>A | Official / Original Creator / Organizer</x:v>
      </x:c>
      <x:c r="P425" s="22" t="str">
        <x:v>Core</x:v>
      </x:c>
      <x:c r="Q425" s="22" t="str">
        <x:v>Verified</x:v>
      </x:c>
      <x:c r="R425" s="25" t="n">
        <x:v>46246</x:v>
      </x:c>
      <x:c r="S425" s="17" t="str">
        <x:v>Curated in the targeted ScholarTube expansion; official institution, conference, lab, course, or creator source.</x:v>
      </x:c>
      <x:c r="T425" s="16" t="str">
        <x:v>DrygcOI-kG8</x:v>
      </x:c>
    </x:row>
    <x:row r="426" ht="42" customHeight="1">
      <x:c r="A426" s="21" t="str">
        <x:v>ST-425</x:v>
      </x:c>
      <x:c r="B426" s="21" t="str">
        <x:v>Course</x:v>
      </x:c>
      <x:c r="C426" s="21" t="str">
        <x:v>Agent</x:v>
      </x:c>
      <x:c r="D426" s="17" t="str">
        <x:v>Agents / Tool Use / Reasoning</x:v>
      </x:c>
      <x:c r="E426" s="17" t="str">
        <x:v>Agents / Reasoning / Tool Use</x:v>
      </x:c>
      <x:c r="F426" s="22" t="str">
        <x:v>English</x:v>
      </x:c>
      <x:c r="G426" s="17" t="str">
        <x:v>The Ultimate MCP Crash Course - Build From Scratch</x:v>
      </x:c>
      <x:c r="H426" s="17" t="str">
        <x:v>To be added</x:v>
      </x:c>
      <x:c r="I426" s="17" t="str">
        <x:v>Web Dev Simplified</x:v>
      </x:c>
      <x:c r="J426" s="22" t="str">
        <x:v>Course / Tutorial</x:v>
      </x:c>
      <x:c r="K426" s="23" t="n">
        <x:v>75</x:v>
      </x:c>
      <x:c r="L426" s="16" t="str">
        <x:v>https://www.youtube.com/watch?v=ZoZxQwp1PiM</x:v>
      </x:c>
      <x:c r="M426" s="21" t="str">
        <x:v>YouTube</x:v>
      </x:c>
      <x:c r="N426" s="24" t="n">
        <x:v>302750</x:v>
      </x:c>
      <x:c r="O426" s="22" t="str">
        <x:v>B | University / Conference / Institution</x:v>
      </x:c>
      <x:c r="P426" s="22" t="str">
        <x:v>Recommended</x:v>
      </x:c>
      <x:c r="Q426" s="22" t="str">
        <x:v>Verified</x:v>
      </x:c>
      <x:c r="R426" s="25" t="n">
        <x:v>46246</x:v>
      </x:c>
      <x:c r="S426" s="17" t="str">
        <x:v>Curated in the targeted ScholarTube expansion; public metadata accessible and editorially reviewed.</x:v>
      </x:c>
      <x:c r="T426" s="16" t="str">
        <x:v>ZoZxQwp1PiM</x:v>
      </x:c>
    </x:row>
    <x:row r="427" ht="42" customHeight="1">
      <x:c r="A427" s="21" t="str">
        <x:v>ST-426</x:v>
      </x:c>
      <x:c r="B427" s="21" t="str">
        <x:v>Course</x:v>
      </x:c>
      <x:c r="C427" s="21" t="str">
        <x:v>Vision</x:v>
      </x:c>
      <x:c r="D427" s="17" t="str">
        <x:v>Computer Vision / 3D Vision</x:v>
      </x:c>
      <x:c r="E427" s="17" t="str">
        <x:v>Computer Vision / 3D Vision / Representation Learning</x:v>
      </x:c>
      <x:c r="F427" s="22" t="str">
        <x:v>English</x:v>
      </x:c>
      <x:c r="G427" s="17" t="str">
        <x:v>Advanced Computer Vision with Python - Full Course</x:v>
      </x:c>
      <x:c r="H427" s="17" t="str">
        <x:v>To be added</x:v>
      </x:c>
      <x:c r="I427" s="17" t="str">
        <x:v>freeCodeCamp.org</x:v>
      </x:c>
      <x:c r="J427" s="22" t="str">
        <x:v>Course / Tutorial</x:v>
      </x:c>
      <x:c r="K427" s="23" t="n">
        <x:v>401</x:v>
      </x:c>
      <x:c r="L427" s="16" t="str">
        <x:v>https://www.youtube.com/watch?v=01sAkU_NvOY</x:v>
      </x:c>
      <x:c r="M427" s="21" t="str">
        <x:v>YouTube</x:v>
      </x:c>
      <x:c r="N427" s="24" t="n">
        <x:v>2008440</x:v>
      </x:c>
      <x:c r="O427" s="22" t="str">
        <x:v>B | University / Conference / Institution</x:v>
      </x:c>
      <x:c r="P427" s="22" t="str">
        <x:v>Recommended</x:v>
      </x:c>
      <x:c r="Q427" s="22" t="str">
        <x:v>Verified</x:v>
      </x:c>
      <x:c r="R427" s="25" t="n">
        <x:v>46246</x:v>
      </x:c>
      <x:c r="S427" s="17" t="str">
        <x:v>Curated in the targeted ScholarTube expansion; public metadata accessible and editorially reviewed.</x:v>
      </x:c>
      <x:c r="T427" s="16" t="str">
        <x:v>01sAkU_NvOY</x:v>
      </x:c>
    </x:row>
    <x:row r="428" ht="42" customHeight="1">
      <x:c r="A428" s="21" t="str">
        <x:v>ST-427</x:v>
      </x:c>
      <x:c r="B428" s="21" t="str">
        <x:v>Course</x:v>
      </x:c>
      <x:c r="C428" s="21" t="str">
        <x:v>Agent</x:v>
      </x:c>
      <x:c r="D428" s="17" t="str">
        <x:v>Agents / Tool Use / Reasoning</x:v>
      </x:c>
      <x:c r="E428" s="17" t="str">
        <x:v>Agents / Reasoning / Tool Use</x:v>
      </x:c>
      <x:c r="F428" s="22" t="str">
        <x:v>English</x:v>
      </x:c>
      <x:c r="G428" s="17" t="str">
        <x:v>Intro to MCP Servers – Model Context Protocol with Python Course</x:v>
      </x:c>
      <x:c r="H428" s="17" t="str">
        <x:v>To be added</x:v>
      </x:c>
      <x:c r="I428" s="17" t="str">
        <x:v>freeCodeCamp.org</x:v>
      </x:c>
      <x:c r="J428" s="22" t="str">
        <x:v>Course / Tutorial</x:v>
      </x:c>
      <x:c r="K428" s="23" t="n">
        <x:v>73</x:v>
      </x:c>
      <x:c r="L428" s="16" t="str">
        <x:v>https://www.youtube.com/watch?v=DosHnyq78xY</x:v>
      </x:c>
      <x:c r="M428" s="21" t="str">
        <x:v>YouTube</x:v>
      </x:c>
      <x:c r="N428" s="24" t="n">
        <x:v>104432</x:v>
      </x:c>
      <x:c r="O428" s="22" t="str">
        <x:v>B | University / Conference / Institution</x:v>
      </x:c>
      <x:c r="P428" s="22" t="str">
        <x:v>Recommended</x:v>
      </x:c>
      <x:c r="Q428" s="22" t="str">
        <x:v>Verified</x:v>
      </x:c>
      <x:c r="R428" s="25" t="n">
        <x:v>46246</x:v>
      </x:c>
      <x:c r="S428" s="17" t="str">
        <x:v>Curated in the targeted ScholarTube expansion; public metadata accessible and editorially reviewed.</x:v>
      </x:c>
      <x:c r="T428" s="16" t="str">
        <x:v>DosHnyq78xY</x:v>
      </x:c>
    </x:row>
    <x:row r="429" ht="42" customHeight="1">
      <x:c r="A429" s="21" t="str">
        <x:v>ST-428</x:v>
      </x:c>
      <x:c r="B429" s="21" t="str">
        <x:v>Talk</x:v>
      </x:c>
      <x:c r="C429" s="21" t="str">
        <x:v>Robotics</x:v>
      </x:c>
      <x:c r="D429" s="17" t="str">
        <x:v>Robotics / Embodied AI</x:v>
      </x:c>
      <x:c r="E429" s="17" t="str">
        <x:v>Robot Learning / Embodied AI / Control</x:v>
      </x:c>
      <x:c r="F429" s="22" t="str">
        <x:v>English</x:v>
      </x:c>
      <x:c r="G429" s="17" t="str">
        <x:v>Yuke Zhu - The Quest for Compositional Robot Autonomy | Nuro Technical Talks</x:v>
      </x:c>
      <x:c r="H429" s="17" t="str">
        <x:v>Yuke Zhu</x:v>
      </x:c>
      <x:c r="I429" s="17" t="str">
        <x:v>Nuro</x:v>
      </x:c>
      <x:c r="J429" s="22" t="str">
        <x:v>Academic Talk / Research Seminar</x:v>
      </x:c>
      <x:c r="K429" s="23" t="n">
        <x:v>89</x:v>
      </x:c>
      <x:c r="L429" s="16" t="str">
        <x:v>https://www.youtube.com/watch?v=_k3r3KSAAzM</x:v>
      </x:c>
      <x:c r="M429" s="21" t="str">
        <x:v>YouTube</x:v>
      </x:c>
      <x:c r="N429" s="24" t="n">
        <x:v>854</x:v>
      </x:c>
      <x:c r="O429" s="22" t="str">
        <x:v>B | University / Conference / Institution</x:v>
      </x:c>
      <x:c r="P429" s="22" t="str">
        <x:v>Recommended</x:v>
      </x:c>
      <x:c r="Q429" s="22" t="str">
        <x:v>Verified</x:v>
      </x:c>
      <x:c r="R429" s="25" t="n">
        <x:v>46246</x:v>
      </x:c>
      <x:c r="S429" s="17" t="str">
        <x:v>Curated in the targeted ScholarTube expansion; public metadata accessible and editorially reviewed.</x:v>
      </x:c>
      <x:c r="T429" s="16" t="str">
        <x:v>_k3r3KSAAzM</x:v>
      </x:c>
    </x:row>
    <x:row r="430" ht="42" customHeight="1">
      <x:c r="A430" s="21" t="str">
        <x:v>ST-429</x:v>
      </x:c>
      <x:c r="B430" s="21" t="str">
        <x:v>Talk</x:v>
      </x:c>
      <x:c r="C430" s="21" t="str">
        <x:v>Vision</x:v>
      </x:c>
      <x:c r="D430" s="17" t="str">
        <x:v>Computer Vision / 3D Vision</x:v>
      </x:c>
      <x:c r="E430" s="17" t="str">
        <x:v>Computer Vision / 3D Vision / Representation Learning</x:v>
      </x:c>
      <x:c r="F430" s="22" t="str">
        <x:v>English</x:v>
      </x:c>
      <x:c r="G430" s="17" t="str">
        <x:v>We are (still!) not giving Data enough credit - Alyosha Efros, Keynote at ACVSS 24</x:v>
      </x:c>
      <x:c r="H430" s="17" t="str">
        <x:v>Alexei Efros</x:v>
      </x:c>
      <x:c r="I430" s="17" t="str">
        <x:v>African Computer Vision Summer School (ACVSS)</x:v>
      </x:c>
      <x:c r="J430" s="22" t="str">
        <x:v>Academic Talk / Research Seminar</x:v>
      </x:c>
      <x:c r="K430" s="23" t="n">
        <x:v>98</x:v>
      </x:c>
      <x:c r="L430" s="16" t="str">
        <x:v>https://www.youtube.com/watch?v=dV6sgUiGv-U</x:v>
      </x:c>
      <x:c r="M430" s="21" t="str">
        <x:v>YouTube</x:v>
      </x:c>
      <x:c r="N430" s="24" t="n">
        <x:v>434</x:v>
      </x:c>
      <x:c r="O430" s="22" t="str">
        <x:v>A | Official / Original Creator / Organizer</x:v>
      </x:c>
      <x:c r="P430" s="22" t="str">
        <x:v>Core</x:v>
      </x:c>
      <x:c r="Q430" s="22" t="str">
        <x:v>Verified</x:v>
      </x:c>
      <x:c r="R430" s="25" t="n">
        <x:v>46246</x:v>
      </x:c>
      <x:c r="S430" s="17" t="str">
        <x:v>Curated in the targeted ScholarTube expansion; official institution, conference, lab, course, or creator source.</x:v>
      </x:c>
      <x:c r="T430" s="16" t="str">
        <x:v>dV6sgUiGv-U</x:v>
      </x:c>
    </x:row>
    <x:row r="431" ht="42" customHeight="1">
      <x:c r="A431" s="21" t="str">
        <x:v>ST-430</x:v>
      </x:c>
      <x:c r="B431" s="21" t="str">
        <x:v>Interview</x:v>
      </x:c>
      <x:c r="C431" s="21" t="str">
        <x:v>Agent</x:v>
      </x:c>
      <x:c r="D431" s="17" t="str">
        <x:v>Agents / Tool Use / Reasoning</x:v>
      </x:c>
      <x:c r="E431" s="17" t="str">
        <x:v>Agents / Reasoning / Tool Use</x:v>
      </x:c>
      <x:c r="F431" s="22" t="str">
        <x:v>English</x:v>
      </x:c>
      <x:c r="G431" s="17" t="str">
        <x:v>How We Built It: Character.AI - Fireside Chat with Harrison Chase &amp; James Groeneveld</x:v>
      </x:c>
      <x:c r="H431" s="17" t="str">
        <x:v>Harrison Chase</x:v>
      </x:c>
      <x:c r="I431" s="17" t="str">
        <x:v>LangChain</x:v>
      </x:c>
      <x:c r="J431" s="22" t="str">
        <x:v>Research Interview</x:v>
      </x:c>
      <x:c r="K431" s="23" t="n">
        <x:v>33</x:v>
      </x:c>
      <x:c r="L431" s="16" t="str">
        <x:v>https://www.youtube.com/watch?v=mNil_htP-bk</x:v>
      </x:c>
      <x:c r="M431" s="21" t="str">
        <x:v>YouTube</x:v>
      </x:c>
      <x:c r="N431" s="24" t="n">
        <x:v>8051</x:v>
      </x:c>
      <x:c r="O431" s="22" t="str">
        <x:v>A | Official / Original Creator / Organizer</x:v>
      </x:c>
      <x:c r="P431" s="22" t="str">
        <x:v>Core</x:v>
      </x:c>
      <x:c r="Q431" s="22" t="str">
        <x:v>Verified</x:v>
      </x:c>
      <x:c r="R431" s="25" t="n">
        <x:v>46246</x:v>
      </x:c>
      <x:c r="S431" s="17" t="str">
        <x:v>Curated in the targeted ScholarTube expansion; official institution, conference, lab, course, or creator source.</x:v>
      </x:c>
      <x:c r="T431" s="16" t="str">
        <x:v>mNil_htP-bk</x:v>
      </x:c>
    </x:row>
    <x:row r="432" ht="42" customHeight="1">
      <x:c r="A432" s="21" t="str">
        <x:v>ST-431</x:v>
      </x:c>
      <x:c r="B432" s="21" t="str">
        <x:v>Course</x:v>
      </x:c>
      <x:c r="C432" s="21" t="str">
        <x:v>Agent</x:v>
      </x:c>
      <x:c r="D432" s="17" t="str">
        <x:v>Agents / Tool Use / Reasoning</x:v>
      </x:c>
      <x:c r="E432" s="17" t="str">
        <x:v>Agents / Reasoning / Tool Use</x:v>
      </x:c>
      <x:c r="F432" s="22" t="str">
        <x:v>English</x:v>
      </x:c>
      <x:c r="G432" s="17" t="str">
        <x:v>Full Course (Lessons 1-10) AI Agents for Beginners</x:v>
      </x:c>
      <x:c r="H432" s="17" t="str">
        <x:v>To be added</x:v>
      </x:c>
      <x:c r="I432" s="17" t="str">
        <x:v>Microsoft Developer</x:v>
      </x:c>
      <x:c r="J432" s="22" t="str">
        <x:v>Course / Tutorial</x:v>
      </x:c>
      <x:c r="K432" s="23" t="n">
        <x:v>64</x:v>
      </x:c>
      <x:c r="L432" s="16" t="str">
        <x:v>https://www.youtube.com/watch?v=OhI005_aJkA</x:v>
      </x:c>
      <x:c r="M432" s="21" t="str">
        <x:v>YouTube</x:v>
      </x:c>
      <x:c r="N432" s="24" t="n">
        <x:v>514757</x:v>
      </x:c>
      <x:c r="O432" s="22" t="str">
        <x:v>A | Official / Original Creator / Organizer</x:v>
      </x:c>
      <x:c r="P432" s="22" t="str">
        <x:v>Core</x:v>
      </x:c>
      <x:c r="Q432" s="22" t="str">
        <x:v>Verified</x:v>
      </x:c>
      <x:c r="R432" s="25" t="n">
        <x:v>46246</x:v>
      </x:c>
      <x:c r="S432" s="17" t="str">
        <x:v>Curated in the targeted ScholarTube expansion; official institution, conference, lab, course, or creator source.</x:v>
      </x:c>
      <x:c r="T432" s="16" t="str">
        <x:v>OhI005_aJkA</x:v>
      </x:c>
    </x:row>
    <x:row r="433" ht="42" customHeight="1">
      <x:c r="A433" s="21" t="str">
        <x:v>ST-432</x:v>
      </x:c>
      <x:c r="B433" s="21" t="str">
        <x:v>Talk</x:v>
      </x:c>
      <x:c r="C433" s="21" t="str">
        <x:v>Robotics</x:v>
      </x:c>
      <x:c r="D433" s="17" t="str">
        <x:v>Robotics / Embodied AI</x:v>
      </x:c>
      <x:c r="E433" s="17" t="str">
        <x:v>Robot Learning / Embodied AI / Control</x:v>
      </x:c>
      <x:c r="F433" s="22" t="str">
        <x:v>English</x:v>
      </x:c>
      <x:c r="G433" s="17" t="str">
        <x:v>Talk 11: M, Hutter, P. Fankhauser, ETH &amp; ANYbotics | ICRA2021 WS on Legged Robots</x:v>
      </x:c>
      <x:c r="H433" s="17" t="str">
        <x:v>Marco Hutter</x:v>
      </x:c>
      <x:c r="I433" s="17" t="str">
        <x:v>Legged Robots</x:v>
      </x:c>
      <x:c r="J433" s="22" t="str">
        <x:v>Academic Talk / Research Seminar</x:v>
      </x:c>
      <x:c r="K433" s="23" t="n">
        <x:v>31</x:v>
      </x:c>
      <x:c r="L433" s="16" t="str">
        <x:v>https://www.youtube.com/watch?v=Gv25CLSvJ9Q</x:v>
      </x:c>
      <x:c r="M433" s="21" t="str">
        <x:v>YouTube</x:v>
      </x:c>
      <x:c r="N433" s="24" t="n">
        <x:v>769</x:v>
      </x:c>
      <x:c r="O433" s="22" t="str">
        <x:v>B | University / Conference / Institution</x:v>
      </x:c>
      <x:c r="P433" s="22" t="str">
        <x:v>Recommended</x:v>
      </x:c>
      <x:c r="Q433" s="22" t="str">
        <x:v>Verified</x:v>
      </x:c>
      <x:c r="R433" s="25" t="n">
        <x:v>46246</x:v>
      </x:c>
      <x:c r="S433" s="17" t="str">
        <x:v>Curated in the targeted ScholarTube expansion; public metadata accessible and editorially reviewed.</x:v>
      </x:c>
      <x:c r="T433" s="16" t="str">
        <x:v>Gv25CLSvJ9Q</x:v>
      </x:c>
    </x:row>
    <x:row r="434" ht="42" customHeight="1">
      <x:c r="A434" s="21" t="str">
        <x:v>ST-433</x:v>
      </x:c>
      <x:c r="B434" s="21" t="str">
        <x:v>Talk</x:v>
      </x:c>
      <x:c r="C434" s="21" t="str">
        <x:v>Vision</x:v>
      </x:c>
      <x:c r="D434" s="17" t="str">
        <x:v>Computer Vision / 3D Vision</x:v>
      </x:c>
      <x:c r="E434" s="17" t="str">
        <x:v>Computer Vision / 3D Vision / Representation Learning</x:v>
      </x:c>
      <x:c r="F434" s="22" t="str">
        <x:v>English</x:v>
      </x:c>
      <x:c r="G434" s="17" t="str">
        <x:v>BMVA DL 06 Andrea Vedaldi   Understanding Visual Representations</x:v>
      </x:c>
      <x:c r="H434" s="17" t="str">
        <x:v>Andrea Vedaldi</x:v>
      </x:c>
      <x:c r="I434" s="17" t="str">
        <x:v>BMVA: British Machine Vision Association</x:v>
      </x:c>
      <x:c r="J434" s="22" t="str">
        <x:v>Academic Talk / Research Seminar</x:v>
      </x:c>
      <x:c r="K434" s="23" t="n">
        <x:v>38</x:v>
      </x:c>
      <x:c r="L434" s="16" t="str">
        <x:v>https://www.youtube.com/watch?v=yG0AEobaS1E</x:v>
      </x:c>
      <x:c r="M434" s="21" t="str">
        <x:v>YouTube</x:v>
      </x:c>
      <x:c r="N434" s="24" t="n">
        <x:v>321</x:v>
      </x:c>
      <x:c r="O434" s="22" t="str">
        <x:v>A | Official / Original Creator / Organizer</x:v>
      </x:c>
      <x:c r="P434" s="22" t="str">
        <x:v>Core</x:v>
      </x:c>
      <x:c r="Q434" s="22" t="str">
        <x:v>Verified</x:v>
      </x:c>
      <x:c r="R434" s="25" t="n">
        <x:v>46246</x:v>
      </x:c>
      <x:c r="S434" s="17" t="str">
        <x:v>Curated in the targeted ScholarTube expansion; official institution, conference, lab, course, or creator source.</x:v>
      </x:c>
      <x:c r="T434" s="16" t="str">
        <x:v>yG0AEobaS1E</x:v>
      </x:c>
    </x:row>
    <x:row r="435" ht="42" customHeight="1">
      <x:c r="A435" s="21" t="str">
        <x:v>ST-434</x:v>
      </x:c>
      <x:c r="B435" s="21" t="str">
        <x:v>Course</x:v>
      </x:c>
      <x:c r="C435" s="21" t="str">
        <x:v>Agent</x:v>
      </x:c>
      <x:c r="D435" s="17" t="str">
        <x:v>Agents / Tool Use / Reasoning</x:v>
      </x:c>
      <x:c r="E435" s="17" t="str">
        <x:v>Agents / Reasoning / Tool Use</x:v>
      </x:c>
      <x:c r="F435" s="22" t="str">
        <x:v>English</x:v>
      </x:c>
      <x:c r="G435" s="17" t="str">
        <x:v>LangGraph Complete Course for Beginners – Complex AI Agents with Python</x:v>
      </x:c>
      <x:c r="H435" s="17" t="str">
        <x:v>To be added</x:v>
      </x:c>
      <x:c r="I435" s="17" t="str">
        <x:v>freeCodeCamp.org</x:v>
      </x:c>
      <x:c r="J435" s="22" t="str">
        <x:v>Course / Tutorial</x:v>
      </x:c>
      <x:c r="K435" s="23" t="n">
        <x:v>190</x:v>
      </x:c>
      <x:c r="L435" s="16" t="str">
        <x:v>https://www.youtube.com/watch?v=jGg_1h0qzaM</x:v>
      </x:c>
      <x:c r="M435" s="21" t="str">
        <x:v>YouTube</x:v>
      </x:c>
      <x:c r="N435" s="24" t="n">
        <x:v>872302</x:v>
      </x:c>
      <x:c r="O435" s="22" t="str">
        <x:v>B | University / Conference / Institution</x:v>
      </x:c>
      <x:c r="P435" s="22" t="str">
        <x:v>Recommended</x:v>
      </x:c>
      <x:c r="Q435" s="22" t="str">
        <x:v>Verified</x:v>
      </x:c>
      <x:c r="R435" s="25" t="n">
        <x:v>46246</x:v>
      </x:c>
      <x:c r="S435" s="17" t="str">
        <x:v>Curated in the targeted ScholarTube expansion; public metadata accessible and editorially reviewed.</x:v>
      </x:c>
      <x:c r="T435" s="16" t="str">
        <x:v>jGg_1h0qzaM</x:v>
      </x:c>
    </x:row>
    <x:row r="436" ht="42" customHeight="1">
      <x:c r="A436" s="21" t="str">
        <x:v>ST-435</x:v>
      </x:c>
      <x:c r="B436" s="21" t="str">
        <x:v>Talk</x:v>
      </x:c>
      <x:c r="C436" s="21" t="str">
        <x:v>Robotics</x:v>
      </x:c>
      <x:c r="D436" s="17" t="str">
        <x:v>Robotics / Embodied AI</x:v>
      </x:c>
      <x:c r="E436" s="17" t="str">
        <x:v>Robot Learning / Embodied AI / Control</x:v>
      </x:c>
      <x:c r="F436" s="22" t="str">
        <x:v>English</x:v>
      </x:c>
      <x:c r="G436" s="17" t="str">
        <x:v>[09] M. Hutter, 6th Workshop on Legged Robots ICRA'22</x:v>
      </x:c>
      <x:c r="H436" s="17" t="str">
        <x:v>Marco Hutter</x:v>
      </x:c>
      <x:c r="I436" s="17" t="str">
        <x:v>Legged Robots</x:v>
      </x:c>
      <x:c r="J436" s="22" t="str">
        <x:v>Academic Talk / Research Seminar</x:v>
      </x:c>
      <x:c r="K436" s="23" t="n">
        <x:v>22</x:v>
      </x:c>
      <x:c r="L436" s="16" t="str">
        <x:v>https://www.youtube.com/watch?v=7VixKUmdL4k</x:v>
      </x:c>
      <x:c r="M436" s="21" t="str">
        <x:v>YouTube</x:v>
      </x:c>
      <x:c r="N436" s="24" t="n">
        <x:v>1471</x:v>
      </x:c>
      <x:c r="O436" s="22" t="str">
        <x:v>B | University / Conference / Institution</x:v>
      </x:c>
      <x:c r="P436" s="22" t="str">
        <x:v>Recommended</x:v>
      </x:c>
      <x:c r="Q436" s="22" t="str">
        <x:v>Verified</x:v>
      </x:c>
      <x:c r="R436" s="25" t="n">
        <x:v>46246</x:v>
      </x:c>
      <x:c r="S436" s="17" t="str">
        <x:v>Curated in the targeted ScholarTube expansion; public metadata accessible and editorially reviewed.</x:v>
      </x:c>
      <x:c r="T436" s="16" t="str">
        <x:v>7VixKUmdL4k</x:v>
      </x:c>
    </x:row>
    <x:row r="437" ht="42" customHeight="1">
      <x:c r="A437" s="21" t="str">
        <x:v>ST-436</x:v>
      </x:c>
      <x:c r="B437" s="21" t="str">
        <x:v>Talk</x:v>
      </x:c>
      <x:c r="C437" s="21" t="str">
        <x:v>Robotics</x:v>
      </x:c>
      <x:c r="D437" s="17" t="str">
        <x:v>Robotics / Embodied AI</x:v>
      </x:c>
      <x:c r="E437" s="17" t="str">
        <x:v>Robot Learning / Embodied AI / Control</x:v>
      </x:c>
      <x:c r="F437" s="22" t="str">
        <x:v>English</x:v>
      </x:c>
      <x:c r="G437" s="17" t="str">
        <x:v>AI+Science Conference: AI+Robotics 11.11.2025 - Yuke Zhu</x:v>
      </x:c>
      <x:c r="H437" s="17" t="str">
        <x:v>Yuke Zhu</x:v>
      </x:c>
      <x:c r="I437" s="17" t="str">
        <x:v>AI+Science Conference 2025</x:v>
      </x:c>
      <x:c r="J437" s="22" t="str">
        <x:v>Academic Talk / Research Seminar</x:v>
      </x:c>
      <x:c r="K437" s="23" t="n">
        <x:v>30</x:v>
      </x:c>
      <x:c r="L437" s="16" t="str">
        <x:v>https://www.youtube.com/watch?v=HsDz0CbYZ-U</x:v>
      </x:c>
      <x:c r="M437" s="21" t="str">
        <x:v>YouTube</x:v>
      </x:c>
      <x:c r="N437" s="24" t="n">
        <x:v>122</x:v>
      </x:c>
      <x:c r="O437" s="22" t="str">
        <x:v>A | Official / Original Creator / Organizer</x:v>
      </x:c>
      <x:c r="P437" s="22" t="str">
        <x:v>Core</x:v>
      </x:c>
      <x:c r="Q437" s="22" t="str">
        <x:v>Verified</x:v>
      </x:c>
      <x:c r="R437" s="25" t="n">
        <x:v>46246</x:v>
      </x:c>
      <x:c r="S437" s="17" t="str">
        <x:v>Curated in the targeted ScholarTube expansion; official institution, conference, lab, course, or creator source.</x:v>
      </x:c>
      <x:c r="T437" s="16" t="str">
        <x:v>HsDz0CbYZ-U</x:v>
      </x:c>
    </x:row>
    <x:row r="438" ht="42" customHeight="1">
      <x:c r="A438" s="21" t="str">
        <x:v>ST-437</x:v>
      </x:c>
      <x:c r="B438" s="21" t="str">
        <x:v>Course</x:v>
      </x:c>
      <x:c r="C438" s="21" t="str">
        <x:v>Vision</x:v>
      </x:c>
      <x:c r="D438" s="17" t="str">
        <x:v>Computer Vision / 3D Vision</x:v>
      </x:c>
      <x:c r="E438" s="17" t="str">
        <x:v>Computer Vision / 3D Vision / Representation Learning</x:v>
      </x:c>
      <x:c r="F438" s="22" t="str">
        <x:v>English</x:v>
      </x:c>
      <x:c r="G438" s="17" t="str">
        <x:v>End-to-End (small) Vision Language Model Fine-tuning Tutorial | On DGX Spark</x:v>
      </x:c>
      <x:c r="H438" s="17" t="str">
        <x:v>To be added</x:v>
      </x:c>
      <x:c r="I438" s="17" t="str">
        <x:v>Daniel Bourke</x:v>
      </x:c>
      <x:c r="J438" s="22" t="str">
        <x:v>Course / Tutorial</x:v>
      </x:c>
      <x:c r="K438" s="23" t="n">
        <x:v>73</x:v>
      </x:c>
      <x:c r="L438" s="16" t="str">
        <x:v>https://www.youtube.com/watch?v=_EMfJSmLSKE</x:v>
      </x:c>
      <x:c r="M438" s="21" t="str">
        <x:v>YouTube</x:v>
      </x:c>
      <x:c r="N438" s="24" t="n">
        <x:v>18467</x:v>
      </x:c>
      <x:c r="O438" s="22" t="str">
        <x:v>B | University / Conference / Institution</x:v>
      </x:c>
      <x:c r="P438" s="22" t="str">
        <x:v>Recommended</x:v>
      </x:c>
      <x:c r="Q438" s="22" t="str">
        <x:v>Verified</x:v>
      </x:c>
      <x:c r="R438" s="25" t="n">
        <x:v>46246</x:v>
      </x:c>
      <x:c r="S438" s="17" t="str">
        <x:v>Curated in the targeted ScholarTube expansion; public metadata accessible and editorially reviewed.</x:v>
      </x:c>
      <x:c r="T438" s="16" t="str">
        <x:v>_EMfJSmLSKE</x:v>
      </x:c>
    </x:row>
    <x:row r="439" ht="42" customHeight="1">
      <x:c r="A439" s="21" t="str">
        <x:v>ST-438</x:v>
      </x:c>
      <x:c r="B439" s="21" t="str">
        <x:v>Talk</x:v>
      </x:c>
      <x:c r="C439" s="21" t="str">
        <x:v>Robotics</x:v>
      </x:c>
      <x:c r="D439" s="17" t="str">
        <x:v>Robotics / Embodied AI</x:v>
      </x:c>
      <x:c r="E439" s="17" t="str">
        <x:v>Robot Learning / Embodied AI / Control</x:v>
      </x:c>
      <x:c r="F439" s="22" t="str">
        <x:v>English</x:v>
      </x:c>
      <x:c r="G439" s="17" t="str">
        <x:v>IAIFI Summer Workshop 2024 | Pulkit Agrawal</x:v>
      </x:c>
      <x:c r="H439" s="17" t="str">
        <x:v>Pulkit Agrawal</x:v>
      </x:c>
      <x:c r="I439" s="17" t="str">
        <x:v>IAIFI: Institute for AI &amp; Fundamental Interactions</x:v>
      </x:c>
      <x:c r="J439" s="22" t="str">
        <x:v>Academic Talk / Research Seminar</x:v>
      </x:c>
      <x:c r="K439" s="23" t="n">
        <x:v>63</x:v>
      </x:c>
      <x:c r="L439" s="16" t="str">
        <x:v>https://www.youtube.com/watch?v=UNb2cQOhTos</x:v>
      </x:c>
      <x:c r="M439" s="21" t="str">
        <x:v>YouTube</x:v>
      </x:c>
      <x:c r="N439" s="24" t="n">
        <x:v>133</x:v>
      </x:c>
      <x:c r="O439" s="22" t="str">
        <x:v>A | Official / Original Creator / Organizer</x:v>
      </x:c>
      <x:c r="P439" s="22" t="str">
        <x:v>Core</x:v>
      </x:c>
      <x:c r="Q439" s="22" t="str">
        <x:v>Verified</x:v>
      </x:c>
      <x:c r="R439" s="25" t="n">
        <x:v>46246</x:v>
      </x:c>
      <x:c r="S439" s="17" t="str">
        <x:v>Curated in the targeted ScholarTube expansion; official institution, conference, lab, course, or creator source.</x:v>
      </x:c>
      <x:c r="T439" s="16" t="str">
        <x:v>UNb2cQOhTos</x:v>
      </x:c>
    </x:row>
    <x:row r="440" ht="42" customHeight="1">
      <x:c r="A440" s="21" t="str">
        <x:v>ST-439</x:v>
      </x:c>
      <x:c r="B440" s="21" t="str">
        <x:v>Course</x:v>
      </x:c>
      <x:c r="C440" s="21" t="str">
        <x:v>Agent</x:v>
      </x:c>
      <x:c r="D440" s="17" t="str">
        <x:v>Agents / Tool Use / Reasoning</x:v>
      </x:c>
      <x:c r="E440" s="17" t="str">
        <x:v>Agents / Reasoning / Tool Use</x:v>
      </x:c>
      <x:c r="F440" s="22" t="str">
        <x:v>English</x:v>
      </x:c>
      <x:c r="G440" s="17" t="str">
        <x:v>Agentic AI – Complete Course for Beginners</x:v>
      </x:c>
      <x:c r="H440" s="17" t="str">
        <x:v>To be added</x:v>
      </x:c>
      <x:c r="I440" s="17" t="str">
        <x:v>freeCodeCamp.org</x:v>
      </x:c>
      <x:c r="J440" s="22" t="str">
        <x:v>Course / Tutorial</x:v>
      </x:c>
      <x:c r="K440" s="23" t="n">
        <x:v>1456</x:v>
      </x:c>
      <x:c r="L440" s="16" t="str">
        <x:v>https://www.youtube.com/watch?v=Zy7EXDONlTY</x:v>
      </x:c>
      <x:c r="M440" s="21" t="str">
        <x:v>YouTube</x:v>
      </x:c>
      <x:c r="N440" s="24" t="n">
        <x:v>151347</x:v>
      </x:c>
      <x:c r="O440" s="22" t="str">
        <x:v>B | University / Conference / Institution</x:v>
      </x:c>
      <x:c r="P440" s="22" t="str">
        <x:v>Recommended</x:v>
      </x:c>
      <x:c r="Q440" s="22" t="str">
        <x:v>Verified</x:v>
      </x:c>
      <x:c r="R440" s="25" t="n">
        <x:v>46246</x:v>
      </x:c>
      <x:c r="S440" s="17" t="str">
        <x:v>Curated in the targeted ScholarTube expansion; public metadata accessible and editorially reviewed.</x:v>
      </x:c>
      <x:c r="T440" s="16" t="str">
        <x:v>Zy7EXDONlTY</x:v>
      </x:c>
    </x:row>
    <x:row r="441" ht="42" customHeight="1">
      <x:c r="A441" s="21" t="str">
        <x:v>ST-440</x:v>
      </x:c>
      <x:c r="B441" s="21" t="str">
        <x:v>Course</x:v>
      </x:c>
      <x:c r="C441" s="21" t="str">
        <x:v>Robotics</x:v>
      </x:c>
      <x:c r="D441" s="17" t="str">
        <x:v>Robotics / Embodied AI</x:v>
      </x:c>
      <x:c r="E441" s="17" t="str">
        <x:v>Robot Learning / Embodied AI / Control</x:v>
      </x:c>
      <x:c r="F441" s="22" t="str">
        <x:v>English</x:v>
      </x:c>
      <x:c r="G441" s="17" t="str">
        <x:v>Learn ROS 2: Beginner to Advanced Course (Concepts and Code)</x:v>
      </x:c>
      <x:c r="H441" s="17" t="str">
        <x:v>To be added</x:v>
      </x:c>
      <x:c r="I441" s="17" t="str">
        <x:v>Kevin Wood | Robotics &amp; AI</x:v>
      </x:c>
      <x:c r="J441" s="22" t="str">
        <x:v>Course / Tutorial</x:v>
      </x:c>
      <x:c r="K441" s="23" t="n">
        <x:v>158</x:v>
      </x:c>
      <x:c r="L441" s="16" t="str">
        <x:v>https://www.youtube.com/watch?v=HJAE5Pk8Nyw</x:v>
      </x:c>
      <x:c r="M441" s="21" t="str">
        <x:v>YouTube</x:v>
      </x:c>
      <x:c r="N441" s="24" t="n">
        <x:v>289745</x:v>
      </x:c>
      <x:c r="O441" s="22" t="str">
        <x:v>A | Official / Original Creator / Organizer</x:v>
      </x:c>
      <x:c r="P441" s="22" t="str">
        <x:v>Core</x:v>
      </x:c>
      <x:c r="Q441" s="22" t="str">
        <x:v>Verified</x:v>
      </x:c>
      <x:c r="R441" s="25" t="n">
        <x:v>46246</x:v>
      </x:c>
      <x:c r="S441" s="17" t="str">
        <x:v>Curated in the targeted ScholarTube expansion; official institution, conference, lab, course, or creator source.</x:v>
      </x:c>
      <x:c r="T441" s="16" t="str">
        <x:v>HJAE5Pk8Nyw</x:v>
      </x:c>
    </x:row>
    <x:row r="442" ht="42" customHeight="1">
      <x:c r="A442" s="21" t="str">
        <x:v>ST-441</x:v>
      </x:c>
      <x:c r="B442" s="21" t="str">
        <x:v>Interview</x:v>
      </x:c>
      <x:c r="C442" s="21" t="str">
        <x:v>Robotics</x:v>
      </x:c>
      <x:c r="D442" s="17" t="str">
        <x:v>Robotics / Embodied AI</x:v>
      </x:c>
      <x:c r="E442" s="17" t="str">
        <x:v>Robot Learning / Embodied AI / Control</x:v>
      </x:c>
      <x:c r="F442" s="22" t="str">
        <x:v>English</x:v>
      </x:c>
      <x:c r="G442" s="17" t="str">
        <x:v>Daniela Rus: What does the future hold for robotics and AI? (Mashable Interview 2023)</x:v>
      </x:c>
      <x:c r="H442" s="17" t="str">
        <x:v>Daniela Rus</x:v>
      </x:c>
      <x:c r="I442" s="17" t="str">
        <x:v>Daniela Rus</x:v>
      </x:c>
      <x:c r="J442" s="22" t="str">
        <x:v>Research Interview</x:v>
      </x:c>
      <x:c r="K442" s="23" t="n">
        <x:v>10</x:v>
      </x:c>
      <x:c r="L442" s="16" t="str">
        <x:v>https://www.youtube.com/watch?v=txk6Hg7wk2c</x:v>
      </x:c>
      <x:c r="M442" s="21" t="str">
        <x:v>YouTube</x:v>
      </x:c>
      <x:c r="N442" s="24" t="n">
        <x:v>2098</x:v>
      </x:c>
      <x:c r="O442" s="22" t="str">
        <x:v>B | University / Conference / Institution</x:v>
      </x:c>
      <x:c r="P442" s="22" t="str">
        <x:v>Recommended</x:v>
      </x:c>
      <x:c r="Q442" s="22" t="str">
        <x:v>Verified</x:v>
      </x:c>
      <x:c r="R442" s="25" t="n">
        <x:v>46246</x:v>
      </x:c>
      <x:c r="S442" s="17" t="str">
        <x:v>Curated in the targeted ScholarTube expansion; public metadata accessible and editorially reviewed.</x:v>
      </x:c>
      <x:c r="T442" s="16" t="str">
        <x:v>txk6Hg7wk2c</x:v>
      </x:c>
    </x:row>
    <x:row r="443" ht="42" customHeight="1">
      <x:c r="A443" s="21" t="str">
        <x:v>ST-442</x:v>
      </x:c>
      <x:c r="B443" s="21" t="str">
        <x:v>Course</x:v>
      </x:c>
      <x:c r="C443" s="21" t="str">
        <x:v>Vision</x:v>
      </x:c>
      <x:c r="D443" s="17" t="str">
        <x:v>Computer Vision / 3D Vision</x:v>
      </x:c>
      <x:c r="E443" s="17" t="str">
        <x:v>Computer Vision / 3D Vision / Representation Learning</x:v>
      </x:c>
      <x:c r="F443" s="22" t="str">
        <x:v>English</x:v>
      </x:c>
      <x:c r="G443" s="17" t="str">
        <x:v>Generate 3D from ANY Video! │Gaussian Splatting Tutorial w/ Postshot</x:v>
      </x:c>
      <x:c r="H443" s="17" t="str">
        <x:v>To be added</x:v>
      </x:c>
      <x:c r="I443" s="17" t="str">
        <x:v>Black Mixture</x:v>
      </x:c>
      <x:c r="J443" s="22" t="str">
        <x:v>Course / Tutorial</x:v>
      </x:c>
      <x:c r="K443" s="23" t="n">
        <x:v>19</x:v>
      </x:c>
      <x:c r="L443" s="16" t="str">
        <x:v>https://www.youtube.com/watch?v=Xn4h0vJ-wYQ</x:v>
      </x:c>
      <x:c r="M443" s="21" t="str">
        <x:v>YouTube</x:v>
      </x:c>
      <x:c r="N443" s="24" t="n">
        <x:v>244148</x:v>
      </x:c>
      <x:c r="O443" s="22" t="str">
        <x:v>B | University / Conference / Institution</x:v>
      </x:c>
      <x:c r="P443" s="22" t="str">
        <x:v>Recommended</x:v>
      </x:c>
      <x:c r="Q443" s="22" t="str">
        <x:v>Verified</x:v>
      </x:c>
      <x:c r="R443" s="25" t="n">
        <x:v>46246</x:v>
      </x:c>
      <x:c r="S443" s="17" t="str">
        <x:v>Curated in the targeted ScholarTube expansion; public metadata accessible and editorially reviewed.</x:v>
      </x:c>
      <x:c r="T443" s="16" t="str">
        <x:v>Xn4h0vJ-wYQ</x:v>
      </x:c>
    </x:row>
    <x:row r="444" ht="42" customHeight="1">
      <x:c r="A444" s="21" t="str">
        <x:v>ST-443</x:v>
      </x:c>
      <x:c r="B444" s="21" t="str">
        <x:v>Course</x:v>
      </x:c>
      <x:c r="C444" s="21" t="str">
        <x:v>Vision</x:v>
      </x:c>
      <x:c r="D444" s="17" t="str">
        <x:v>Computer Vision / 3D Vision</x:v>
      </x:c>
      <x:c r="E444" s="17" t="str">
        <x:v>Computer Vision / 3D Vision / Representation Learning</x:v>
      </x:c>
      <x:c r="F444" s="22" t="str">
        <x:v>English</x:v>
      </x:c>
      <x:c r="G444" s="17" t="str">
        <x:v>TUM AI Lecture Series - The 3D Gaussian Splatting Adventure: Past, Present, Futur (George Drettakis)</x:v>
      </x:c>
      <x:c r="H444" s="17" t="str">
        <x:v>To be added</x:v>
      </x:c>
      <x:c r="I444" s="17" t="str">
        <x:v>Matthias Niessner</x:v>
      </x:c>
      <x:c r="J444" s="22" t="str">
        <x:v>Course / Tutorial</x:v>
      </x:c>
      <x:c r="K444" s="23" t="n">
        <x:v>64</x:v>
      </x:c>
      <x:c r="L444" s="16" t="str">
        <x:v>https://www.youtube.com/watch?v=DjOqkVIlEGY</x:v>
      </x:c>
      <x:c r="M444" s="21" t="str">
        <x:v>YouTube</x:v>
      </x:c>
      <x:c r="N444" s="24" t="n">
        <x:v>21782</x:v>
      </x:c>
      <x:c r="O444" s="22" t="str">
        <x:v>A | Official / Original Creator / Organizer</x:v>
      </x:c>
      <x:c r="P444" s="22" t="str">
        <x:v>Core</x:v>
      </x:c>
      <x:c r="Q444" s="22" t="str">
        <x:v>Verified</x:v>
      </x:c>
      <x:c r="R444" s="25" t="n">
        <x:v>46246</x:v>
      </x:c>
      <x:c r="S444" s="17" t="str">
        <x:v>Curated in the targeted ScholarTube expansion; official institution, conference, lab, course, or creator source.</x:v>
      </x:c>
      <x:c r="T444" s="16" t="str">
        <x:v>DjOqkVIlEGY</x:v>
      </x:c>
    </x:row>
    <x:row r="445" ht="42" customHeight="1">
      <x:c r="A445" s="21" t="str">
        <x:v>ST-444</x:v>
      </x:c>
      <x:c r="B445" s="21" t="str">
        <x:v>Course</x:v>
      </x:c>
      <x:c r="C445" s="21" t="str">
        <x:v>World Model</x:v>
      </x:c>
      <x:c r="D445" s="17" t="str">
        <x:v>World Models / Predictive Intelligence</x:v>
      </x:c>
      <x:c r="E445" s="17" t="str">
        <x:v>World Models / JEPA / Spatial Intelligence</x:v>
      </x:c>
      <x:c r="F445" s="22" t="str">
        <x:v>English</x:v>
      </x:c>
      <x:c r="G445" s="17" t="str">
        <x:v>TUM AI Lecture Series - Building generative world models: progress and challenges (Ruiqi Gao)</x:v>
      </x:c>
      <x:c r="H445" s="17" t="str">
        <x:v>To be added</x:v>
      </x:c>
      <x:c r="I445" s="17" t="str">
        <x:v>Matthias Niessner</x:v>
      </x:c>
      <x:c r="J445" s="22" t="str">
        <x:v>Course / Tutorial</x:v>
      </x:c>
      <x:c r="K445" s="23" t="n">
        <x:v>74</x:v>
      </x:c>
      <x:c r="L445" s="16" t="str">
        <x:v>https://www.youtube.com/watch?v=CkOSMqwvFiQ</x:v>
      </x:c>
      <x:c r="M445" s="21" t="str">
        <x:v>YouTube</x:v>
      </x:c>
      <x:c r="N445" s="24" t="n">
        <x:v>9086</x:v>
      </x:c>
      <x:c r="O445" s="22" t="str">
        <x:v>A | Official / Original Creator / Organizer</x:v>
      </x:c>
      <x:c r="P445" s="22" t="str">
        <x:v>Core</x:v>
      </x:c>
      <x:c r="Q445" s="22" t="str">
        <x:v>Verified</x:v>
      </x:c>
      <x:c r="R445" s="25" t="n">
        <x:v>46246</x:v>
      </x:c>
      <x:c r="S445" s="17" t="str">
        <x:v>Curated in the targeted ScholarTube expansion; official institution, conference, lab, course, or creator source.</x:v>
      </x:c>
      <x:c r="T445" s="16" t="str">
        <x:v>CkOSMqwvFiQ</x:v>
      </x:c>
    </x:row>
    <x:row r="446" ht="42" customHeight="1">
      <x:c r="A446" s="21" t="str">
        <x:v>ST-445</x:v>
      </x:c>
      <x:c r="B446" s="21" t="str">
        <x:v>Course</x:v>
      </x:c>
      <x:c r="C446" s="21" t="str">
        <x:v>Vision</x:v>
      </x:c>
      <x:c r="D446" s="17" t="str">
        <x:v>Computer Vision / 3D Vision</x:v>
      </x:c>
      <x:c r="E446" s="17" t="str">
        <x:v>Computer Vision / 3D Vision / Representation Learning</x:v>
      </x:c>
      <x:c r="F446" s="22" t="str">
        <x:v>English</x:v>
      </x:c>
      <x:c r="G446" s="17" t="str">
        <x:v>CVPR18: Tutorial: Part 1: Interpretable Machine Learning for Computer Vision</x:v>
      </x:c>
      <x:c r="H446" s="17" t="str">
        <x:v>To be added</x:v>
      </x:c>
      <x:c r="I446" s="17" t="str">
        <x:v>ComputerVisionFoundation Videos</x:v>
      </x:c>
      <x:c r="J446" s="22" t="str">
        <x:v>Course / Tutorial</x:v>
      </x:c>
      <x:c r="K446" s="23" t="n">
        <x:v>91</x:v>
      </x:c>
      <x:c r="L446" s="16" t="str">
        <x:v>https://www.youtube.com/watch?v=MgawSHnYQGw</x:v>
      </x:c>
      <x:c r="M446" s="21" t="str">
        <x:v>YouTube</x:v>
      </x:c>
      <x:c r="N446" s="24" t="n">
        <x:v>12564</x:v>
      </x:c>
      <x:c r="O446" s="22" t="str">
        <x:v>A | Official / Original Creator / Organizer</x:v>
      </x:c>
      <x:c r="P446" s="22" t="str">
        <x:v>Core</x:v>
      </x:c>
      <x:c r="Q446" s="22" t="str">
        <x:v>Verified</x:v>
      </x:c>
      <x:c r="R446" s="25" t="n">
        <x:v>46246</x:v>
      </x:c>
      <x:c r="S446" s="17" t="str">
        <x:v>Curated in the targeted ScholarTube expansion; official institution, conference, lab, course, or creator source.</x:v>
      </x:c>
      <x:c r="T446" s="16" t="str">
        <x:v>MgawSHnYQGw</x:v>
      </x:c>
    </x:row>
    <x:row r="447" ht="42" customHeight="1">
      <x:c r="A447" s="21" t="str">
        <x:v>ST-446</x:v>
      </x:c>
      <x:c r="B447" s="21" t="str">
        <x:v>Course</x:v>
      </x:c>
      <x:c r="C447" s="21" t="str">
        <x:v>Vision</x:v>
      </x:c>
      <x:c r="D447" s="17" t="str">
        <x:v>Computer Vision / 3D Vision</x:v>
      </x:c>
      <x:c r="E447" s="17" t="str">
        <x:v>Computer Vision / 3D Vision / Representation Learning</x:v>
      </x:c>
      <x:c r="F447" s="22" t="str">
        <x:v>English</x:v>
      </x:c>
      <x:c r="G447" s="17" t="str">
        <x:v>A Brief Introduction to Neural Radiance Fields | CESCG Academy 2023</x:v>
      </x:c>
      <x:c r="H447" s="17" t="str">
        <x:v>To be added</x:v>
      </x:c>
      <x:c r="I447" s="17" t="str">
        <x:v>CESCG</x:v>
      </x:c>
      <x:c r="J447" s="22" t="str">
        <x:v>Course / Tutorial</x:v>
      </x:c>
      <x:c r="K447" s="23" t="n">
        <x:v>80</x:v>
      </x:c>
      <x:c r="L447" s="16" t="str">
        <x:v>https://www.youtube.com/watch?v=s3PHOPv88P4</x:v>
      </x:c>
      <x:c r="M447" s="21" t="str">
        <x:v>YouTube</x:v>
      </x:c>
      <x:c r="N447" s="24" t="n">
        <x:v>15368</x:v>
      </x:c>
      <x:c r="O447" s="22" t="str">
        <x:v>B | University / Conference / Institution</x:v>
      </x:c>
      <x:c r="P447" s="22" t="str">
        <x:v>Recommended</x:v>
      </x:c>
      <x:c r="Q447" s="22" t="str">
        <x:v>Verified</x:v>
      </x:c>
      <x:c r="R447" s="25" t="n">
        <x:v>46246</x:v>
      </x:c>
      <x:c r="S447" s="17" t="str">
        <x:v>Curated in the targeted ScholarTube expansion; public metadata accessible and editorially reviewed.</x:v>
      </x:c>
      <x:c r="T447" s="16" t="str">
        <x:v>s3PHOPv88P4</x:v>
      </x:c>
    </x:row>
    <x:row r="448" ht="42" customHeight="1">
      <x:c r="A448" s="21" t="str">
        <x:v>ST-447</x:v>
      </x:c>
      <x:c r="B448" s="21" t="str">
        <x:v>Course</x:v>
      </x:c>
      <x:c r="C448" s="21" t="str">
        <x:v>Agent</x:v>
      </x:c>
      <x:c r="D448" s="17" t="str">
        <x:v>Agents / Tool Use / Reasoning</x:v>
      </x:c>
      <x:c r="E448" s="17" t="str">
        <x:v>Agents / Reasoning / Tool Use</x:v>
      </x:c>
      <x:c r="F448" s="22" t="str">
        <x:v>English</x:v>
      </x:c>
      <x:c r="G448" s="17" t="str">
        <x:v>Multi-Agent AI Systems Explained: The Complete Guide</x:v>
      </x:c>
      <x:c r="H448" s="17" t="str">
        <x:v>To be added</x:v>
      </x:c>
      <x:c r="I448" s="17" t="str">
        <x:v>Aishwarya Srinivasan</x:v>
      </x:c>
      <x:c r="J448" s="22" t="str">
        <x:v>Course / Tutorial</x:v>
      </x:c>
      <x:c r="K448" s="23" t="n">
        <x:v>21</x:v>
      </x:c>
      <x:c r="L448" s="16" t="str">
        <x:v>https://www.youtube.com/watch?v=-zBbij9rrEI</x:v>
      </x:c>
      <x:c r="M448" s="21" t="str">
        <x:v>YouTube</x:v>
      </x:c>
      <x:c r="N448" s="24" t="n">
        <x:v>19731</x:v>
      </x:c>
      <x:c r="O448" s="22" t="str">
        <x:v>B | University / Conference / Institution</x:v>
      </x:c>
      <x:c r="P448" s="22" t="str">
        <x:v>Recommended</x:v>
      </x:c>
      <x:c r="Q448" s="22" t="str">
        <x:v>Verified</x:v>
      </x:c>
      <x:c r="R448" s="25" t="n">
        <x:v>46246</x:v>
      </x:c>
      <x:c r="S448" s="17" t="str">
        <x:v>Curated in the targeted ScholarTube expansion; public metadata accessible and editorially reviewed.</x:v>
      </x:c>
      <x:c r="T448" s="16" t="str">
        <x:v>-zBbij9rrEI</x:v>
      </x:c>
    </x:row>
    <x:row r="449" ht="42" customHeight="1">
      <x:c r="A449" s="21" t="str">
        <x:v>ST-448</x:v>
      </x:c>
      <x:c r="B449" s="21" t="str">
        <x:v>Course</x:v>
      </x:c>
      <x:c r="C449" s="21" t="str">
        <x:v>Robotics</x:v>
      </x:c>
      <x:c r="D449" s="17" t="str">
        <x:v>Robotics / Embodied AI</x:v>
      </x:c>
      <x:c r="E449" s="17" t="str">
        <x:v>Robot Learning / Embodied AI / Control</x:v>
      </x:c>
      <x:c r="F449" s="22" t="str">
        <x:v>English</x:v>
      </x:c>
      <x:c r="G449" s="17" t="str">
        <x:v>Imitation Learning Tutorial ICML 2018</x:v>
      </x:c>
      <x:c r="H449" s="17" t="str">
        <x:v>To be added</x:v>
      </x:c>
      <x:c r="I449" s="17" t="str">
        <x:v>Hoang Le</x:v>
      </x:c>
      <x:c r="J449" s="22" t="str">
        <x:v>Course / Tutorial</x:v>
      </x:c>
      <x:c r="K449" s="23" t="n">
        <x:v>127</x:v>
      </x:c>
      <x:c r="L449" s="16" t="str">
        <x:v>https://www.youtube.com/watch?v=WjFdD7PDGw0</x:v>
      </x:c>
      <x:c r="M449" s="21" t="str">
        <x:v>YouTube</x:v>
      </x:c>
      <x:c r="N449" s="24" t="n">
        <x:v>37405</x:v>
      </x:c>
      <x:c r="O449" s="22" t="str">
        <x:v>B | University / Conference / Institution</x:v>
      </x:c>
      <x:c r="P449" s="22" t="str">
        <x:v>Recommended</x:v>
      </x:c>
      <x:c r="Q449" s="22" t="str">
        <x:v>Verified</x:v>
      </x:c>
      <x:c r="R449" s="25" t="n">
        <x:v>46246</x:v>
      </x:c>
      <x:c r="S449" s="17" t="str">
        <x:v>Curated in the targeted ScholarTube expansion; public metadata accessible and editorially reviewed.</x:v>
      </x:c>
      <x:c r="T449" s="16" t="str">
        <x:v>WjFdD7PDGw0</x:v>
      </x:c>
    </x:row>
    <x:row r="450" ht="42" customHeight="1">
      <x:c r="A450" s="21" t="str">
        <x:v>ST-449</x:v>
      </x:c>
      <x:c r="B450" s="21" t="str">
        <x:v>Course</x:v>
      </x:c>
      <x:c r="C450" s="21" t="str">
        <x:v>Vision</x:v>
      </x:c>
      <x:c r="D450" s="17" t="str">
        <x:v>Computer Vision / 3D Vision</x:v>
      </x:c>
      <x:c r="E450" s="17" t="str">
        <x:v>Computer Vision / 3D Vision / Representation Learning</x:v>
      </x:c>
      <x:c r="F450" s="22" t="str">
        <x:v>English</x:v>
      </x:c>
      <x:c r="G450" s="17" t="str">
        <x:v>NeRF: Representing Scenes as Neural Radiance Fields for View Synthesis (ML Research Paper Explained)</x:v>
      </x:c>
      <x:c r="H450" s="17" t="str">
        <x:v>To be added</x:v>
      </x:c>
      <x:c r="I450" s="17" t="str">
        <x:v>Yannic Kilcher</x:v>
      </x:c>
      <x:c r="J450" s="22" t="str">
        <x:v>Course / Tutorial</x:v>
      </x:c>
      <x:c r="K450" s="23" t="n">
        <x:v>34</x:v>
      </x:c>
      <x:c r="L450" s="16" t="str">
        <x:v>https://www.youtube.com/watch?v=CRlN-cYFxTk</x:v>
      </x:c>
      <x:c r="M450" s="21" t="str">
        <x:v>YouTube</x:v>
      </x:c>
      <x:c r="N450" s="24" t="n">
        <x:v>204471</x:v>
      </x:c>
      <x:c r="O450" s="22" t="str">
        <x:v>B | University / Conference / Institution</x:v>
      </x:c>
      <x:c r="P450" s="22" t="str">
        <x:v>Recommended</x:v>
      </x:c>
      <x:c r="Q450" s="22" t="str">
        <x:v>Verified</x:v>
      </x:c>
      <x:c r="R450" s="25" t="n">
        <x:v>46246</x:v>
      </x:c>
      <x:c r="S450" s="17" t="str">
        <x:v>Curated in the targeted ScholarTube expansion; public metadata accessible and editorially reviewed.</x:v>
      </x:c>
      <x:c r="T450" s="16" t="str">
        <x:v>CRlN-cYFxTk</x:v>
      </x:c>
    </x:row>
    <x:row r="451" ht="42" customHeight="1">
      <x:c r="A451" s="21" t="str">
        <x:v>ST-450</x:v>
      </x:c>
      <x:c r="B451" s="21" t="str">
        <x:v>Course</x:v>
      </x:c>
      <x:c r="C451" s="21" t="str">
        <x:v>World Model</x:v>
      </x:c>
      <x:c r="D451" s="17" t="str">
        <x:v>World Models / Predictive Intelligence</x:v>
      </x:c>
      <x:c r="E451" s="17" t="str">
        <x:v>World Models / JEPA / Spatial Intelligence</x:v>
      </x:c>
      <x:c r="F451" s="22" t="str">
        <x:v>English</x:v>
      </x:c>
      <x:c r="G451" s="17" t="str">
        <x:v>Lecture 20 Model-Based Reinforcement Learning -- CS287-FA19 Advanced Robotics at UC Berkeley</x:v>
      </x:c>
      <x:c r="H451" s="17" t="str">
        <x:v>To be added</x:v>
      </x:c>
      <x:c r="I451" s="17" t="str">
        <x:v>Pieter Abbeel</x:v>
      </x:c>
      <x:c r="J451" s="22" t="str">
        <x:v>Course / Tutorial</x:v>
      </x:c>
      <x:c r="K451" s="23" t="n">
        <x:v>79</x:v>
      </x:c>
      <x:c r="L451" s="16" t="str">
        <x:v>https://www.youtube.com/watch?v=Y2XBiUtZo1k</x:v>
      </x:c>
      <x:c r="M451" s="21" t="str">
        <x:v>YouTube</x:v>
      </x:c>
      <x:c r="N451" s="24" t="n">
        <x:v>7494</x:v>
      </x:c>
      <x:c r="O451" s="22" t="str">
        <x:v>A | Official / Original Creator / Organizer</x:v>
      </x:c>
      <x:c r="P451" s="22" t="str">
        <x:v>Core</x:v>
      </x:c>
      <x:c r="Q451" s="22" t="str">
        <x:v>Verified</x:v>
      </x:c>
      <x:c r="R451" s="25" t="n">
        <x:v>46246</x:v>
      </x:c>
      <x:c r="S451" s="17" t="str">
        <x:v>Curated in the targeted ScholarTube expansion; official institution, conference, lab, course, or creator source.</x:v>
      </x:c>
      <x:c r="T451" s="16" t="str">
        <x:v>Y2XBiUtZo1k</x:v>
      </x:c>
    </x:row>
    <x:row r="452" ht="42" customHeight="1">
      <x:c r="A452" s="21" t="str">
        <x:v>ST-451</x:v>
      </x:c>
      <x:c r="B452" s="21" t="str">
        <x:v>Course</x:v>
      </x:c>
      <x:c r="C452" s="21" t="str">
        <x:v>Vision</x:v>
      </x:c>
      <x:c r="D452" s="17" t="str">
        <x:v>Computer Vision / 3D Vision</x:v>
      </x:c>
      <x:c r="E452" s="17" t="str">
        <x:v>Computer Vision / 3D Vision / Representation Learning</x:v>
      </x:c>
      <x:c r="F452" s="22" t="str">
        <x:v>English</x:v>
      </x:c>
      <x:c r="G452" s="17" t="str">
        <x:v>DINO: Emerging Properties in Self-Supervised Vision Transformers (Facebook AI Research Explained)</x:v>
      </x:c>
      <x:c r="H452" s="17" t="str">
        <x:v>To be added</x:v>
      </x:c>
      <x:c r="I452" s="17" t="str">
        <x:v>Yannic Kilcher</x:v>
      </x:c>
      <x:c r="J452" s="22" t="str">
        <x:v>Course / Tutorial</x:v>
      </x:c>
      <x:c r="K452" s="23" t="n">
        <x:v>39</x:v>
      </x:c>
      <x:c r="L452" s="16" t="str">
        <x:v>https://www.youtube.com/watch?v=h3ij3F3cPIk</x:v>
      </x:c>
      <x:c r="M452" s="21" t="str">
        <x:v>YouTube</x:v>
      </x:c>
      <x:c r="N452" s="24" t="n">
        <x:v>156925</x:v>
      </x:c>
      <x:c r="O452" s="22" t="str">
        <x:v>B | University / Conference / Institution</x:v>
      </x:c>
      <x:c r="P452" s="22" t="str">
        <x:v>Recommended</x:v>
      </x:c>
      <x:c r="Q452" s="22" t="str">
        <x:v>Verified</x:v>
      </x:c>
      <x:c r="R452" s="25" t="n">
        <x:v>46246</x:v>
      </x:c>
      <x:c r="S452" s="17" t="str">
        <x:v>Curated in the targeted ScholarTube expansion; public metadata accessible and editorially reviewed.</x:v>
      </x:c>
      <x:c r="T452" s="16" t="str">
        <x:v>h3ij3F3cPIk</x:v>
      </x:c>
    </x:row>
    <x:row r="453" ht="42" customHeight="1">
      <x:c r="A453" s="21" t="str">
        <x:v>ST-452</x:v>
      </x:c>
      <x:c r="B453" s="21" t="str">
        <x:v>Course</x:v>
      </x:c>
      <x:c r="C453" s="21" t="str">
        <x:v>Agent</x:v>
      </x:c>
      <x:c r="D453" s="17" t="str">
        <x:v>Agents / Tool Use / Reasoning</x:v>
      </x:c>
      <x:c r="E453" s="17" t="str">
        <x:v>Agents / Reasoning / Tool Use</x:v>
      </x:c>
      <x:c r="F453" s="22" t="str">
        <x:v>English</x:v>
      </x:c>
      <x:c r="G453" s="17" t="str">
        <x:v>Agentic RAG Tutorial: Building AI Agents with Function Calling and Retrieval-Augmented Generation</x:v>
      </x:c>
      <x:c r="H453" s="17" t="str">
        <x:v>To be added</x:v>
      </x:c>
      <x:c r="I453" s="17" t="str">
        <x:v>DataTalksClub ⬛</x:v>
      </x:c>
      <x:c r="J453" s="22" t="str">
        <x:v>Course / Tutorial</x:v>
      </x:c>
      <x:c r="K453" s="23" t="n">
        <x:v>94</x:v>
      </x:c>
      <x:c r="L453" s="16" t="str">
        <x:v>https://www.youtube.com/watch?v=GH3lrOsU3AU</x:v>
      </x:c>
      <x:c r="M453" s="21" t="str">
        <x:v>YouTube</x:v>
      </x:c>
      <x:c r="N453" s="24" t="n">
        <x:v>9764</x:v>
      </x:c>
      <x:c r="O453" s="22" t="str">
        <x:v>B | University / Conference / Institution</x:v>
      </x:c>
      <x:c r="P453" s="22" t="str">
        <x:v>Recommended</x:v>
      </x:c>
      <x:c r="Q453" s="22" t="str">
        <x:v>Verified</x:v>
      </x:c>
      <x:c r="R453" s="25" t="n">
        <x:v>46246</x:v>
      </x:c>
      <x:c r="S453" s="17" t="str">
        <x:v>Curated in the targeted ScholarTube expansion; public metadata accessible and editorially reviewed.</x:v>
      </x:c>
      <x:c r="T453" s="16" t="str">
        <x:v>GH3lrOsU3AU</x:v>
      </x:c>
    </x:row>
    <x:row r="454" ht="42" customHeight="1">
      <x:c r="A454" s="21" t="str">
        <x:v>ST-453</x:v>
      </x:c>
      <x:c r="B454" s="21" t="str">
        <x:v>Course</x:v>
      </x:c>
      <x:c r="C454" s="21" t="str">
        <x:v>Agent</x:v>
      </x:c>
      <x:c r="D454" s="17" t="str">
        <x:v>Agents / Tool Use / Reasoning</x:v>
      </x:c>
      <x:c r="E454" s="17" t="str">
        <x:v>Agents / Reasoning / Tool Use</x:v>
      </x:c>
      <x:c r="F454" s="22" t="str">
        <x:v>English</x:v>
      </x:c>
      <x:c r="G454" s="17" t="str">
        <x:v>DSPy Masterclass — 5 Real-World Use Cases for AI Engineers</x:v>
      </x:c>
      <x:c r="H454" s="17" t="str">
        <x:v>To be added</x:v>
      </x:c>
      <x:c r="I454" s="17" t="str">
        <x:v>ZazenCodes</x:v>
      </x:c>
      <x:c r="J454" s="22" t="str">
        <x:v>Course / Tutorial</x:v>
      </x:c>
      <x:c r="K454" s="23" t="n">
        <x:v>58</x:v>
      </x:c>
      <x:c r="L454" s="16" t="str">
        <x:v>https://www.youtube.com/watch?v=cD09UPUp1ww</x:v>
      </x:c>
      <x:c r="M454" s="21" t="str">
        <x:v>YouTube</x:v>
      </x:c>
      <x:c r="N454" s="24" t="n">
        <x:v>12655</x:v>
      </x:c>
      <x:c r="O454" s="22" t="str">
        <x:v>B | University / Conference / Institution</x:v>
      </x:c>
      <x:c r="P454" s="22" t="str">
        <x:v>Recommended</x:v>
      </x:c>
      <x:c r="Q454" s="22" t="str">
        <x:v>Verified</x:v>
      </x:c>
      <x:c r="R454" s="25" t="n">
        <x:v>46246</x:v>
      </x:c>
      <x:c r="S454" s="17" t="str">
        <x:v>Curated in the targeted ScholarTube expansion; public metadata accessible and editorially reviewed.</x:v>
      </x:c>
      <x:c r="T454" s="16" t="str">
        <x:v>cD09UPUp1ww</x:v>
      </x:c>
    </x:row>
    <x:row r="455" ht="42" customHeight="1">
      <x:c r="A455" s="21" t="str">
        <x:v>ST-454</x:v>
      </x:c>
      <x:c r="B455" s="21" t="str">
        <x:v>Course</x:v>
      </x:c>
      <x:c r="C455" s="21" t="str">
        <x:v>Robotics</x:v>
      </x:c>
      <x:c r="D455" s="17" t="str">
        <x:v>Robotics / Embodied AI</x:v>
      </x:c>
      <x:c r="E455" s="17" t="str">
        <x:v>Robot Learning / Embodied AI / Control</x:v>
      </x:c>
      <x:c r="F455" s="22" t="str">
        <x:v>English</x:v>
      </x:c>
      <x:c r="G455" s="17" t="str">
        <x:v>Lecture 2 - Robot Imitation Learning | Modern Robot Learning From Scratch</x:v>
      </x:c>
      <x:c r="H455" s="17" t="str">
        <x:v>To be added</x:v>
      </x:c>
      <x:c r="I455" s="17" t="str">
        <x:v>Vizuara</x:v>
      </x:c>
      <x:c r="J455" s="22" t="str">
        <x:v>Course / Tutorial</x:v>
      </x:c>
      <x:c r="K455" s="23" t="n">
        <x:v>87</x:v>
      </x:c>
      <x:c r="L455" s="16" t="str">
        <x:v>https://www.youtube.com/watch?v=rx2aXfDb938</x:v>
      </x:c>
      <x:c r="M455" s="21" t="str">
        <x:v>YouTube</x:v>
      </x:c>
      <x:c r="N455" s="24" t="n">
        <x:v>6228</x:v>
      </x:c>
      <x:c r="O455" s="22" t="str">
        <x:v>B | University / Conference / Institution</x:v>
      </x:c>
      <x:c r="P455" s="22" t="str">
        <x:v>Recommended</x:v>
      </x:c>
      <x:c r="Q455" s="22" t="str">
        <x:v>Verified</x:v>
      </x:c>
      <x:c r="R455" s="25" t="n">
        <x:v>46246</x:v>
      </x:c>
      <x:c r="S455" s="17" t="str">
        <x:v>Curated in the targeted ScholarTube expansion; public metadata accessible and editorially reviewed.</x:v>
      </x:c>
      <x:c r="T455" s="16" t="str">
        <x:v>rx2aXfDb938</x:v>
      </x:c>
    </x:row>
    <x:row r="456" ht="42" customHeight="1">
      <x:c r="A456" s="21" t="str">
        <x:v>ST-455</x:v>
      </x:c>
      <x:c r="B456" s="21" t="str">
        <x:v>Course</x:v>
      </x:c>
      <x:c r="C456" s="21" t="str">
        <x:v>Robotics</x:v>
      </x:c>
      <x:c r="D456" s="17" t="str">
        <x:v>Robotics / Embodied AI</x:v>
      </x:c>
      <x:c r="E456" s="17" t="str">
        <x:v>Robot Learning / Embodied AI / Control</x:v>
      </x:c>
      <x:c r="F456" s="22" t="str">
        <x:v>English</x:v>
      </x:c>
      <x:c r="G456" s="17" t="str">
        <x:v>Reinforcement Learning For Robots in Python: Isaac Lab Tutorial</x:v>
      </x:c>
      <x:c r="H456" s="17" t="str">
        <x:v>To be added</x:v>
      </x:c>
      <x:c r="I456" s="17" t="str">
        <x:v>NeuralNine</x:v>
      </x:c>
      <x:c r="J456" s="22" t="str">
        <x:v>Course / Tutorial</x:v>
      </x:c>
      <x:c r="K456" s="23" t="n">
        <x:v>9</x:v>
      </x:c>
      <x:c r="L456" s="16" t="str">
        <x:v>https://www.youtube.com/watch?v=TMHkFDhVt7g</x:v>
      </x:c>
      <x:c r="M456" s="21" t="str">
        <x:v>YouTube</x:v>
      </x:c>
      <x:c r="N456" s="24" t="n">
        <x:v>19062</x:v>
      </x:c>
      <x:c r="O456" s="22" t="str">
        <x:v>B | University / Conference / Institution</x:v>
      </x:c>
      <x:c r="P456" s="22" t="str">
        <x:v>Recommended</x:v>
      </x:c>
      <x:c r="Q456" s="22" t="str">
        <x:v>Verified</x:v>
      </x:c>
      <x:c r="R456" s="25" t="n">
        <x:v>46246</x:v>
      </x:c>
      <x:c r="S456" s="17" t="str">
        <x:v>Curated in the targeted ScholarTube expansion; public metadata accessible and editorially reviewed.</x:v>
      </x:c>
      <x:c r="T456" s="16" t="str">
        <x:v>TMHkFDhVt7g</x:v>
      </x:c>
    </x:row>
    <x:row r="457" ht="42" customHeight="1">
      <x:c r="A457" s="21" t="str">
        <x:v>ST-456</x:v>
      </x:c>
      <x:c r="B457" s="21" t="str">
        <x:v>Course</x:v>
      </x:c>
      <x:c r="C457" s="21" t="str">
        <x:v>Agent</x:v>
      </x:c>
      <x:c r="D457" s="17" t="str">
        <x:v>Agents / Tool Use / Reasoning</x:v>
      </x:c>
      <x:c r="E457" s="17" t="str">
        <x:v>Agents / Reasoning / Tool Use</x:v>
      </x:c>
      <x:c r="F457" s="22" t="str">
        <x:v>English</x:v>
      </x:c>
      <x:c r="G457" s="17" t="str">
        <x:v>AI Evals Explained | How to evaluate AI Agents?</x:v>
      </x:c>
      <x:c r="H457" s="17" t="str">
        <x:v>To be added</x:v>
      </x:c>
      <x:c r="I457" s="17" t="str">
        <x:v>Aishwarya Srinivasan</x:v>
      </x:c>
      <x:c r="J457" s="22" t="str">
        <x:v>Course / Tutorial</x:v>
      </x:c>
      <x:c r="K457" s="23" t="n">
        <x:v>23</x:v>
      </x:c>
      <x:c r="L457" s="16" t="str">
        <x:v>https://www.youtube.com/watch?v=_Er8Hao_gmQ</x:v>
      </x:c>
      <x:c r="M457" s="21" t="str">
        <x:v>YouTube</x:v>
      </x:c>
      <x:c r="N457" s="24" t="n">
        <x:v>23326</x:v>
      </x:c>
      <x:c r="O457" s="22" t="str">
        <x:v>B | University / Conference / Institution</x:v>
      </x:c>
      <x:c r="P457" s="22" t="str">
        <x:v>Recommended</x:v>
      </x:c>
      <x:c r="Q457" s="22" t="str">
        <x:v>Verified</x:v>
      </x:c>
      <x:c r="R457" s="25" t="n">
        <x:v>46246</x:v>
      </x:c>
      <x:c r="S457" s="17" t="str">
        <x:v>Curated in the targeted ScholarTube expansion; public metadata accessible and editorially reviewed.</x:v>
      </x:c>
      <x:c r="T457" s="16" t="str">
        <x:v>_Er8Hao_gmQ</x:v>
      </x:c>
    </x:row>
    <x:row r="458" ht="42" customHeight="1">
      <x:c r="A458" s="21" t="str">
        <x:v>ST-457</x:v>
      </x:c>
      <x:c r="B458" s="21" t="str">
        <x:v>Course</x:v>
      </x:c>
      <x:c r="C458" s="21" t="str">
        <x:v>Robotics</x:v>
      </x:c>
      <x:c r="D458" s="17" t="str">
        <x:v>Robotics / Embodied AI</x:v>
      </x:c>
      <x:c r="E458" s="17" t="str">
        <x:v>Robot Learning / Embodied AI / Control</x:v>
      </x:c>
      <x:c r="F458" s="22" t="str">
        <x:v>English</x:v>
      </x:c>
      <x:c r="G458" s="17" t="str">
        <x:v>Optimization-based Control of Legged Robots - Lesson 1 (2023 edition)</x:v>
      </x:c>
      <x:c r="H458" s="17" t="str">
        <x:v>To be added</x:v>
      </x:c>
      <x:c r="I458" s="17" t="str">
        <x:v>Andrea Del Prete</x:v>
      </x:c>
      <x:c r="J458" s="22" t="str">
        <x:v>Course / Tutorial</x:v>
      </x:c>
      <x:c r="K458" s="23" t="n">
        <x:v>172</x:v>
      </x:c>
      <x:c r="L458" s="16" t="str">
        <x:v>https://www.youtube.com/watch?v=lvsSnSl8fYE</x:v>
      </x:c>
      <x:c r="M458" s="21" t="str">
        <x:v>YouTube</x:v>
      </x:c>
      <x:c r="N458" s="24" t="n">
        <x:v>883</x:v>
      </x:c>
      <x:c r="O458" s="22" t="str">
        <x:v>B | University / Conference / Institution</x:v>
      </x:c>
      <x:c r="P458" s="22" t="str">
        <x:v>Recommended</x:v>
      </x:c>
      <x:c r="Q458" s="22" t="str">
        <x:v>Verified</x:v>
      </x:c>
      <x:c r="R458" s="25" t="n">
        <x:v>46246</x:v>
      </x:c>
      <x:c r="S458" s="17" t="str">
        <x:v>Curated in the targeted ScholarTube expansion; public metadata accessible and editorially reviewed.</x:v>
      </x:c>
      <x:c r="T458" s="16" t="str">
        <x:v>lvsSnSl8fYE</x:v>
      </x:c>
    </x:row>
    <x:row r="459" ht="42" customHeight="1">
      <x:c r="A459" s="21" t="str">
        <x:v>ST-458</x:v>
      </x:c>
      <x:c r="B459" s="21" t="str">
        <x:v>Course</x:v>
      </x:c>
      <x:c r="C459" s="21" t="str">
        <x:v>Vision</x:v>
      </x:c>
      <x:c r="D459" s="17" t="str">
        <x:v>Computer Vision / 3D Vision</x:v>
      </x:c>
      <x:c r="E459" s="17" t="str">
        <x:v>Computer Vision / 3D Vision / Representation Learning</x:v>
      </x:c>
      <x:c r="F459" s="22" t="str">
        <x:v>English</x:v>
      </x:c>
      <x:c r="G459" s="17" t="str">
        <x:v>Lecture 7A Multiple views and Pre-Images</x:v>
      </x:c>
      <x:c r="H459" s="17" t="str">
        <x:v>To be added</x:v>
      </x:c>
      <x:c r="I459" s="17" t="str">
        <x:v>Sean Mullery</x:v>
      </x:c>
      <x:c r="J459" s="22" t="str">
        <x:v>Course / Tutorial</x:v>
      </x:c>
      <x:c r="K459" s="23" t="n">
        <x:v>65</x:v>
      </x:c>
      <x:c r="L459" s="16" t="str">
        <x:v>https://www.youtube.com/watch?v=5XZtM_VrYBU</x:v>
      </x:c>
      <x:c r="M459" s="21" t="str">
        <x:v>YouTube</x:v>
      </x:c>
      <x:c r="N459" s="24" t="n">
        <x:v>1113</x:v>
      </x:c>
      <x:c r="O459" s="22" t="str">
        <x:v>B | University / Conference / Institution</x:v>
      </x:c>
      <x:c r="P459" s="22" t="str">
        <x:v>Recommended</x:v>
      </x:c>
      <x:c r="Q459" s="22" t="str">
        <x:v>Verified</x:v>
      </x:c>
      <x:c r="R459" s="25" t="n">
        <x:v>46246</x:v>
      </x:c>
      <x:c r="S459" s="17" t="str">
        <x:v>Curated in the targeted ScholarTube expansion; public metadata accessible and editorially reviewed.</x:v>
      </x:c>
      <x:c r="T459" s="16" t="str">
        <x:v>5XZtM_VrYBU</x:v>
      </x:c>
    </x:row>
    <x:row r="460" ht="42" customHeight="1">
      <x:c r="A460" s="21" t="str">
        <x:v>ST-459</x:v>
      </x:c>
      <x:c r="B460" s="21" t="str">
        <x:v>Course</x:v>
      </x:c>
      <x:c r="C460" s="21" t="str">
        <x:v>World Model</x:v>
      </x:c>
      <x:c r="D460" s="17" t="str">
        <x:v>World Models / Predictive Intelligence</x:v>
      </x:c>
      <x:c r="E460" s="17" t="str">
        <x:v>World Models / JEPA / Spatial Intelligence</x:v>
      </x:c>
      <x:c r="F460" s="22" t="str">
        <x:v>English</x:v>
      </x:c>
      <x:c r="G460" s="17" t="str">
        <x:v>Introduction to World Models: V-JEPA 2</x:v>
      </x:c>
      <x:c r="H460" s="17" t="str">
        <x:v>To be added</x:v>
      </x:c>
      <x:c r="I460" s="17" t="str">
        <x:v>YanAITalk</x:v>
      </x:c>
      <x:c r="J460" s="22" t="str">
        <x:v>Course / Tutorial</x:v>
      </x:c>
      <x:c r="K460" s="23" t="n">
        <x:v>44</x:v>
      </x:c>
      <x:c r="L460" s="16" t="str">
        <x:v>https://www.youtube.com/watch?v=LY_J9-7BjOc</x:v>
      </x:c>
      <x:c r="M460" s="21" t="str">
        <x:v>YouTube</x:v>
      </x:c>
      <x:c r="N460" s="24" t="n">
        <x:v>16036</x:v>
      </x:c>
      <x:c r="O460" s="22" t="str">
        <x:v>B | University / Conference / Institution</x:v>
      </x:c>
      <x:c r="P460" s="22" t="str">
        <x:v>Recommended</x:v>
      </x:c>
      <x:c r="Q460" s="22" t="str">
        <x:v>Verified</x:v>
      </x:c>
      <x:c r="R460" s="25" t="n">
        <x:v>46246</x:v>
      </x:c>
      <x:c r="S460" s="17" t="str">
        <x:v>Curated in the targeted ScholarTube expansion; public metadata accessible and editorially reviewed.</x:v>
      </x:c>
      <x:c r="T460" s="16" t="str">
        <x:v>LY_J9-7BjOc</x:v>
      </x:c>
    </x:row>
    <x:row r="461" ht="42" customHeight="1">
      <x:c r="A461" s="21" t="str">
        <x:v>ST-460</x:v>
      </x:c>
      <x:c r="B461" s="21" t="str">
        <x:v>Course</x:v>
      </x:c>
      <x:c r="C461" s="21" t="str">
        <x:v>Vision</x:v>
      </x:c>
      <x:c r="D461" s="17" t="str">
        <x:v>Computer Vision / 3D Vision</x:v>
      </x:c>
      <x:c r="E461" s="17" t="str">
        <x:v>Computer Vision / 3D Vision / Representation Learning</x:v>
      </x:c>
      <x:c r="F461" s="22" t="str">
        <x:v>English</x:v>
      </x:c>
      <x:c r="G461" s="17" t="str">
        <x:v>Self-supervised and Vision-Language Learning (First lecture)</x:v>
      </x:c>
      <x:c r="H461" s="17" t="str">
        <x:v>To be added</x:v>
      </x:c>
      <x:c r="I461" s="17" t="str">
        <x:v>Deep Learning II</x:v>
      </x:c>
      <x:c r="J461" s="22" t="str">
        <x:v>Course / Tutorial</x:v>
      </x:c>
      <x:c r="K461" s="23" t="n">
        <x:v>97</x:v>
      </x:c>
      <x:c r="L461" s="16" t="str">
        <x:v>https://www.youtube.com/watch?v=JfSAwuP7ljY</x:v>
      </x:c>
      <x:c r="M461" s="21" t="str">
        <x:v>YouTube</x:v>
      </x:c>
      <x:c r="N461" s="24" t="n">
        <x:v>341</x:v>
      </x:c>
      <x:c r="O461" s="22" t="str">
        <x:v>B | University / Conference / Institution</x:v>
      </x:c>
      <x:c r="P461" s="22" t="str">
        <x:v>Recommended</x:v>
      </x:c>
      <x:c r="Q461" s="22" t="str">
        <x:v>Verified</x:v>
      </x:c>
      <x:c r="R461" s="25" t="n">
        <x:v>46246</x:v>
      </x:c>
      <x:c r="S461" s="17" t="str">
        <x:v>Curated in the targeted ScholarTube expansion; public metadata accessible and editorially reviewed.</x:v>
      </x:c>
      <x:c r="T461" s="16" t="str">
        <x:v>JfSAwuP7ljY</x:v>
      </x:c>
    </x:row>
    <x:row r="462" ht="42" customHeight="1">
      <x:c r="A462" s="21" t="str">
        <x:v>ST-461</x:v>
      </x:c>
      <x:c r="B462" s="21" t="str">
        <x:v>Course</x:v>
      </x:c>
      <x:c r="C462" s="21" t="str">
        <x:v>Robotics</x:v>
      </x:c>
      <x:c r="D462" s="17" t="str">
        <x:v>Robotics / Embodied AI</x:v>
      </x:c>
      <x:c r="E462" s="17" t="str">
        <x:v>Robot Learning / Embodied AI / Control</x:v>
      </x:c>
      <x:c r="F462" s="22" t="str">
        <x:v>English</x:v>
      </x:c>
      <x:c r="G462" s="17" t="str">
        <x:v>New bootcamp launch | Vision-Language-Action for autonomous driving | Lecture 1</x:v>
      </x:c>
      <x:c r="H462" s="17" t="str">
        <x:v>To be added</x:v>
      </x:c>
      <x:c r="I462" s="17" t="str">
        <x:v>Vizuara</x:v>
      </x:c>
      <x:c r="J462" s="22" t="str">
        <x:v>Course / Tutorial</x:v>
      </x:c>
      <x:c r="K462" s="23" t="n">
        <x:v>124</x:v>
      </x:c>
      <x:c r="L462" s="16" t="str">
        <x:v>https://www.youtube.com/watch?v=O1gqWTI3n64</x:v>
      </x:c>
      <x:c r="M462" s="21" t="str">
        <x:v>YouTube</x:v>
      </x:c>
      <x:c r="N462" s="24" t="n">
        <x:v>5900</x:v>
      </x:c>
      <x:c r="O462" s="22" t="str">
        <x:v>B | University / Conference / Institution</x:v>
      </x:c>
      <x:c r="P462" s="22" t="str">
        <x:v>Recommended</x:v>
      </x:c>
      <x:c r="Q462" s="22" t="str">
        <x:v>Verified</x:v>
      </x:c>
      <x:c r="R462" s="25" t="n">
        <x:v>46246</x:v>
      </x:c>
      <x:c r="S462" s="17" t="str">
        <x:v>Curated in the targeted ScholarTube expansion; public metadata accessible and editorially reviewed.</x:v>
      </x:c>
      <x:c r="T462" s="16" t="str">
        <x:v>O1gqWTI3n64</x:v>
      </x:c>
    </x:row>
    <x:row r="463" ht="42" customHeight="1">
      <x:c r="A463" s="21" t="str">
        <x:v>ST-462</x:v>
      </x:c>
      <x:c r="B463" s="21" t="str">
        <x:v>Course</x:v>
      </x:c>
      <x:c r="C463" s="21" t="str">
        <x:v>Robotics</x:v>
      </x:c>
      <x:c r="D463" s="17" t="str">
        <x:v>Robotics / Embodied AI</x:v>
      </x:c>
      <x:c r="E463" s="17" t="str">
        <x:v>Robot Learning / Embodied AI / Control</x:v>
      </x:c>
      <x:c r="F463" s="22" t="str">
        <x:v>English</x:v>
      </x:c>
      <x:c r="G463" s="17" t="str">
        <x:v>Embodied AI Workshop at CVPR 2021</x:v>
      </x:c>
      <x:c r="H463" s="17" t="str">
        <x:v>To be added</x:v>
      </x:c>
      <x:c r="I463" s="17" t="str">
        <x:v>Embodied AI</x:v>
      </x:c>
      <x:c r="J463" s="22" t="str">
        <x:v>Course / Tutorial</x:v>
      </x:c>
      <x:c r="K463" s="23" t="n">
        <x:v>706</x:v>
      </x:c>
      <x:c r="L463" s="16" t="str">
        <x:v>https://www.youtube.com/watch?v=fz40rCEuM8I</x:v>
      </x:c>
      <x:c r="M463" s="21" t="str">
        <x:v>YouTube</x:v>
      </x:c>
      <x:c r="N463" s="24" t="n">
        <x:v>2557</x:v>
      </x:c>
      <x:c r="O463" s="22" t="str">
        <x:v>B | University / Conference / Institution</x:v>
      </x:c>
      <x:c r="P463" s="22" t="str">
        <x:v>Recommended</x:v>
      </x:c>
      <x:c r="Q463" s="22" t="str">
        <x:v>Verified</x:v>
      </x:c>
      <x:c r="R463" s="25" t="n">
        <x:v>46246</x:v>
      </x:c>
      <x:c r="S463" s="17" t="str">
        <x:v>Curated in the targeted ScholarTube expansion; public metadata accessible and editorially reviewed.</x:v>
      </x:c>
      <x:c r="T463" s="16" t="str">
        <x:v>fz40rCEuM8I</x:v>
      </x:c>
    </x:row>
    <x:row r="464" ht="42" customHeight="1">
      <x:c r="A464" s="21" t="str">
        <x:v>ST-463</x:v>
      </x:c>
      <x:c r="B464" s="21" t="str">
        <x:v>Course</x:v>
      </x:c>
      <x:c r="C464" s="21" t="str">
        <x:v>Vision</x:v>
      </x:c>
      <x:c r="D464" s="17" t="str">
        <x:v>Computer Vision / 3D Vision</x:v>
      </x:c>
      <x:c r="E464" s="17" t="str">
        <x:v>Computer Vision / 3D Vision / Representation Learning</x:v>
      </x:c>
      <x:c r="F464" s="22" t="str">
        <x:v>English</x:v>
      </x:c>
      <x:c r="G464" s="17" t="str">
        <x:v>CVPR18: Tutorial: Part 2: Interpretable Machine Learning for Computer Vision</x:v>
      </x:c>
      <x:c r="H464" s="17" t="str">
        <x:v>To be added</x:v>
      </x:c>
      <x:c r="I464" s="17" t="str">
        <x:v>ComputerVisionFoundation Videos</x:v>
      </x:c>
      <x:c r="J464" s="22" t="str">
        <x:v>Course / Tutorial</x:v>
      </x:c>
      <x:c r="K464" s="23" t="n">
        <x:v>103</x:v>
      </x:c>
      <x:c r="L464" s="16" t="str">
        <x:v>https://www.youtube.com/watch?v=1aSS5GEH58U</x:v>
      </x:c>
      <x:c r="M464" s="21" t="str">
        <x:v>YouTube</x:v>
      </x:c>
      <x:c r="N464" s="24" t="n">
        <x:v>5335</x:v>
      </x:c>
      <x:c r="O464" s="22" t="str">
        <x:v>A | Official / Original Creator / Organizer</x:v>
      </x:c>
      <x:c r="P464" s="22" t="str">
        <x:v>Core</x:v>
      </x:c>
      <x:c r="Q464" s="22" t="str">
        <x:v>Verified</x:v>
      </x:c>
      <x:c r="R464" s="25" t="n">
        <x:v>46246</x:v>
      </x:c>
      <x:c r="S464" s="17" t="str">
        <x:v>Curated in the targeted ScholarTube expansion; official institution, conference, lab, course, or creator source.</x:v>
      </x:c>
      <x:c r="T464" s="16" t="str">
        <x:v>1aSS5GEH58U</x:v>
      </x:c>
    </x:row>
    <x:row r="465" ht="42" customHeight="1">
      <x:c r="A465" s="21" t="str">
        <x:v>ST-464</x:v>
      </x:c>
      <x:c r="B465" s="21" t="str">
        <x:v>Course</x:v>
      </x:c>
      <x:c r="C465" s="21" t="str">
        <x:v>World Model</x:v>
      </x:c>
      <x:c r="D465" s="17" t="str">
        <x:v>World Models / Predictive Intelligence</x:v>
      </x:c>
      <x:c r="E465" s="17" t="str">
        <x:v>World Models / JEPA / Spatial Intelligence</x:v>
      </x:c>
      <x:c r="F465" s="22" t="str">
        <x:v>English</x:v>
      </x:c>
      <x:c r="G465" s="17" t="str">
        <x:v>CS885 Lecture 9: Model-based RL</x:v>
      </x:c>
      <x:c r="H465" s="17" t="str">
        <x:v>To be added</x:v>
      </x:c>
      <x:c r="I465" s="17" t="str">
        <x:v>Pascal Poupart</x:v>
      </x:c>
      <x:c r="J465" s="22" t="str">
        <x:v>Course / Tutorial</x:v>
      </x:c>
      <x:c r="K465" s="23" t="n">
        <x:v>85</x:v>
      </x:c>
      <x:c r="L465" s="16" t="str">
        <x:v>https://www.youtube.com/watch?v=p8V2IFLLxxA</x:v>
      </x:c>
      <x:c r="M465" s="21" t="str">
        <x:v>YouTube</x:v>
      </x:c>
      <x:c r="N465" s="24" t="n">
        <x:v>9251</x:v>
      </x:c>
      <x:c r="O465" s="22" t="str">
        <x:v>B | University / Conference / Institution</x:v>
      </x:c>
      <x:c r="P465" s="22" t="str">
        <x:v>Recommended</x:v>
      </x:c>
      <x:c r="Q465" s="22" t="str">
        <x:v>Verified</x:v>
      </x:c>
      <x:c r="R465" s="25" t="n">
        <x:v>46246</x:v>
      </x:c>
      <x:c r="S465" s="17" t="str">
        <x:v>Curated in the targeted ScholarTube expansion; public metadata accessible and editorially reviewed.</x:v>
      </x:c>
      <x:c r="T465" s="16" t="str">
        <x:v>p8V2IFLLxxA</x:v>
      </x:c>
    </x:row>
    <x:row r="466" ht="42" customHeight="1">
      <x:c r="A466" s="21" t="str">
        <x:v>ST-465</x:v>
      </x:c>
      <x:c r="B466" s="21" t="str">
        <x:v>Course</x:v>
      </x:c>
      <x:c r="C466" s="21" t="str">
        <x:v>Robotics</x:v>
      </x:c>
      <x:c r="D466" s="17" t="str">
        <x:v>Robotics / Embodied AI</x:v>
      </x:c>
      <x:c r="E466" s="17" t="str">
        <x:v>Robot Learning / Embodied AI / Control</x:v>
      </x:c>
      <x:c r="F466" s="22" t="str">
        <x:v>English</x:v>
      </x:c>
      <x:c r="G466" s="17" t="str">
        <x:v>Lecture 17 | MIT 6.881 (Robotic Manipulation), Fall 2020 | Reinforcement Learning (Part 1)</x:v>
      </x:c>
      <x:c r="H466" s="17" t="str">
        <x:v>To be added</x:v>
      </x:c>
      <x:c r="I466" s="17" t="str">
        <x:v>underactuated</x:v>
      </x:c>
      <x:c r="J466" s="22" t="str">
        <x:v>Course / Tutorial</x:v>
      </x:c>
      <x:c r="K466" s="23" t="n">
        <x:v>87</x:v>
      </x:c>
      <x:c r="L466" s="16" t="str">
        <x:v>https://www.youtube.com/watch?v=kQfagO8mBiU</x:v>
      </x:c>
      <x:c r="M466" s="21" t="str">
        <x:v>YouTube</x:v>
      </x:c>
      <x:c r="N466" s="24" t="n">
        <x:v>1917</x:v>
      </x:c>
      <x:c r="O466" s="22" t="str">
        <x:v>A | Official / Original Creator / Organizer</x:v>
      </x:c>
      <x:c r="P466" s="22" t="str">
        <x:v>Core</x:v>
      </x:c>
      <x:c r="Q466" s="22" t="str">
        <x:v>Verified</x:v>
      </x:c>
      <x:c r="R466" s="25" t="n">
        <x:v>46246</x:v>
      </x:c>
      <x:c r="S466" s="17" t="str">
        <x:v>Curated in the targeted ScholarTube expansion; official institution, conference, lab, course, or creator source.</x:v>
      </x:c>
      <x:c r="T466" s="16" t="str">
        <x:v>kQfagO8mBiU</x:v>
      </x:c>
    </x:row>
    <x:row r="467" ht="42" customHeight="1">
      <x:c r="A467" s="21" t="str">
        <x:v>ST-466</x:v>
      </x:c>
      <x:c r="B467" s="21" t="str">
        <x:v>Course</x:v>
      </x:c>
      <x:c r="C467" s="21" t="str">
        <x:v>Agent</x:v>
      </x:c>
      <x:c r="D467" s="17" t="str">
        <x:v>Agents / Tool Use / Reasoning</x:v>
      </x:c>
      <x:c r="E467" s="17" t="str">
        <x:v>Agents / Reasoning / Tool Use</x:v>
      </x:c>
      <x:c r="F467" s="22" t="str">
        <x:v>English</x:v>
      </x:c>
      <x:c r="G467" s="17" t="str">
        <x:v>How Language Models Use Tools and the Path to Agents | Post-Training Course, Lecture 11</x:v>
      </x:c>
      <x:c r="H467" s="17" t="str">
        <x:v>To be added</x:v>
      </x:c>
      <x:c r="I467" s="17" t="str">
        <x:v>Nathan Lambert</x:v>
      </x:c>
      <x:c r="J467" s="22" t="str">
        <x:v>Course / Tutorial</x:v>
      </x:c>
      <x:c r="K467" s="23" t="n">
        <x:v>38</x:v>
      </x:c>
      <x:c r="L467" s="16" t="str">
        <x:v>https://www.youtube.com/watch?v=GMry2DzC304</x:v>
      </x:c>
      <x:c r="M467" s="21" t="str">
        <x:v>YouTube</x:v>
      </x:c>
      <x:c r="N467" s="24" t="n">
        <x:v>3659</x:v>
      </x:c>
      <x:c r="O467" s="22" t="str">
        <x:v>B | University / Conference / Institution</x:v>
      </x:c>
      <x:c r="P467" s="22" t="str">
        <x:v>Recommended</x:v>
      </x:c>
      <x:c r="Q467" s="22" t="str">
        <x:v>Verified</x:v>
      </x:c>
      <x:c r="R467" s="25" t="n">
        <x:v>46246</x:v>
      </x:c>
      <x:c r="S467" s="17" t="str">
        <x:v>Curated in the targeted ScholarTube expansion; public metadata accessible and editorially reviewed.</x:v>
      </x:c>
      <x:c r="T467" s="16" t="str">
        <x:v>GMry2DzC304</x:v>
      </x:c>
    </x:row>
    <x:row r="468" ht="42" customHeight="1">
      <x:c r="A468" s="21" t="str">
        <x:v>ST-467</x:v>
      </x:c>
      <x:c r="B468" s="21" t="str">
        <x:v>Course</x:v>
      </x:c>
      <x:c r="C468" s="21" t="str">
        <x:v>Vision</x:v>
      </x:c>
      <x:c r="D468" s="17" t="str">
        <x:v>Computer Vision / 3D Vision</x:v>
      </x:c>
      <x:c r="E468" s="17" t="str">
        <x:v>Computer Vision / 3D Vision / Representation Learning</x:v>
      </x:c>
      <x:c r="F468" s="22" t="str">
        <x:v>English</x:v>
      </x:c>
      <x:c r="G468" s="17" t="str">
        <x:v>Introduction to Vision Language Models (VLM)</x:v>
      </x:c>
      <x:c r="H468" s="17" t="str">
        <x:v>To be added</x:v>
      </x:c>
      <x:c r="I468" s="17" t="str">
        <x:v>Vizuara</x:v>
      </x:c>
      <x:c r="J468" s="22" t="str">
        <x:v>Course / Tutorial</x:v>
      </x:c>
      <x:c r="K468" s="23" t="n">
        <x:v>37</x:v>
      </x:c>
      <x:c r="L468" s="16" t="str">
        <x:v>https://www.youtube.com/watch?v=2JairFgKPb4</x:v>
      </x:c>
      <x:c r="M468" s="21" t="str">
        <x:v>YouTube</x:v>
      </x:c>
      <x:c r="N468" s="24" t="n">
        <x:v>20940</x:v>
      </x:c>
      <x:c r="O468" s="22" t="str">
        <x:v>B | University / Conference / Institution</x:v>
      </x:c>
      <x:c r="P468" s="22" t="str">
        <x:v>Recommended</x:v>
      </x:c>
      <x:c r="Q468" s="22" t="str">
        <x:v>Verified</x:v>
      </x:c>
      <x:c r="R468" s="25" t="n">
        <x:v>46246</x:v>
      </x:c>
      <x:c r="S468" s="17" t="str">
        <x:v>Curated in the targeted ScholarTube expansion; public metadata accessible and editorially reviewed.</x:v>
      </x:c>
      <x:c r="T468" s="16" t="str">
        <x:v>2JairFgKPb4</x:v>
      </x:c>
    </x:row>
    <x:row r="469" ht="42" customHeight="1">
      <x:c r="A469" s="21" t="str">
        <x:v>ST-468</x:v>
      </x:c>
      <x:c r="B469" s="21" t="str">
        <x:v>Course</x:v>
      </x:c>
      <x:c r="C469" s="21" t="str">
        <x:v>Robotics</x:v>
      </x:c>
      <x:c r="D469" s="17" t="str">
        <x:v>Robotics / Embodied AI</x:v>
      </x:c>
      <x:c r="E469" s="17" t="str">
        <x:v>Robot Learning / Embodied AI / Control</x:v>
      </x:c>
      <x:c r="F469" s="22" t="str">
        <x:v>English</x:v>
      </x:c>
      <x:c r="G469" s="17" t="str">
        <x:v>Introduction to Robot Learning (ML and AI) [Part 1] (Dr. Ben Amor, Tech Talk @ CodeDay Labs 2021)</x:v>
      </x:c>
      <x:c r="H469" s="17" t="str">
        <x:v>To be added</x:v>
      </x:c>
      <x:c r="I469" s="17" t="str">
        <x:v>CodeDay</x:v>
      </x:c>
      <x:c r="J469" s="22" t="str">
        <x:v>Course / Tutorial</x:v>
      </x:c>
      <x:c r="K469" s="23" t="n">
        <x:v>72</x:v>
      </x:c>
      <x:c r="L469" s="16" t="str">
        <x:v>https://www.youtube.com/watch?v=O9Zsb1mnOzY</x:v>
      </x:c>
      <x:c r="M469" s="21" t="str">
        <x:v>YouTube</x:v>
      </x:c>
      <x:c r="N469" s="24" t="n">
        <x:v>429</x:v>
      </x:c>
      <x:c r="O469" s="22" t="str">
        <x:v>B | University / Conference / Institution</x:v>
      </x:c>
      <x:c r="P469" s="22" t="str">
        <x:v>Recommended</x:v>
      </x:c>
      <x:c r="Q469" s="22" t="str">
        <x:v>Verified</x:v>
      </x:c>
      <x:c r="R469" s="25" t="n">
        <x:v>46246</x:v>
      </x:c>
      <x:c r="S469" s="17" t="str">
        <x:v>Curated in the targeted ScholarTube expansion; public metadata accessible and editorially reviewed.</x:v>
      </x:c>
      <x:c r="T469" s="16" t="str">
        <x:v>O9Zsb1mnOzY</x:v>
      </x:c>
    </x:row>
    <x:row r="470" ht="42" customHeight="1">
      <x:c r="A470" s="21" t="str">
        <x:v>ST-469</x:v>
      </x:c>
      <x:c r="B470" s="21" t="str">
        <x:v>Course</x:v>
      </x:c>
      <x:c r="C470" s="21" t="str">
        <x:v>World Model</x:v>
      </x:c>
      <x:c r="D470" s="17" t="str">
        <x:v>World Models / Predictive Intelligence</x:v>
      </x:c>
      <x:c r="E470" s="17" t="str">
        <x:v>World Models / JEPA / Spatial Intelligence</x:v>
      </x:c>
      <x:c r="F470" s="22" t="str">
        <x:v>English</x:v>
      </x:c>
      <x:c r="G470" s="17" t="str">
        <x:v>World Models explained in 10min..</x:v>
      </x:c>
      <x:c r="H470" s="17" t="str">
        <x:v>To be added</x:v>
      </x:c>
      <x:c r="I470" s="17" t="str">
        <x:v>Caleb Writes Code</x:v>
      </x:c>
      <x:c r="J470" s="22" t="str">
        <x:v>Course / Tutorial</x:v>
      </x:c>
      <x:c r="K470" s="23" t="n">
        <x:v>10</x:v>
      </x:c>
      <x:c r="L470" s="16" t="str">
        <x:v>https://www.youtube.com/watch?v=ECWC-YlAk1o</x:v>
      </x:c>
      <x:c r="M470" s="21" t="str">
        <x:v>YouTube</x:v>
      </x:c>
      <x:c r="N470" s="24" t="n">
        <x:v>82190</x:v>
      </x:c>
      <x:c r="O470" s="22" t="str">
        <x:v>B | University / Conference / Institution</x:v>
      </x:c>
      <x:c r="P470" s="22" t="str">
        <x:v>Recommended</x:v>
      </x:c>
      <x:c r="Q470" s="22" t="str">
        <x:v>Verified</x:v>
      </x:c>
      <x:c r="R470" s="25" t="n">
        <x:v>46246</x:v>
      </x:c>
      <x:c r="S470" s="17" t="str">
        <x:v>Curated in the targeted ScholarTube expansion; public metadata accessible and editorially reviewed.</x:v>
      </x:c>
      <x:c r="T470" s="16" t="str">
        <x:v>ECWC-YlAk1o</x:v>
      </x:c>
    </x:row>
    <x:row r="471" ht="42" customHeight="1">
      <x:c r="A471" s="21" t="str">
        <x:v>ST-470</x:v>
      </x:c>
      <x:c r="B471" s="21" t="str">
        <x:v>Course</x:v>
      </x:c>
      <x:c r="C471" s="21" t="str">
        <x:v>Robotics</x:v>
      </x:c>
      <x:c r="D471" s="17" t="str">
        <x:v>Robotics / Embodied AI</x:v>
      </x:c>
      <x:c r="E471" s="17" t="str">
        <x:v>Robot Learning / Embodied AI / Control</x:v>
      </x:c>
      <x:c r="F471" s="22" t="str">
        <x:v>English</x:v>
      </x:c>
      <x:c r="G471" s="17" t="str">
        <x:v>Speaker Panel | CVPR 2021 Embodied AI Workshop</x:v>
      </x:c>
      <x:c r="H471" s="17" t="str">
        <x:v>To be added</x:v>
      </x:c>
      <x:c r="I471" s="17" t="str">
        <x:v>Embodied AI</x:v>
      </x:c>
      <x:c r="J471" s="22" t="str">
        <x:v>Course / Tutorial</x:v>
      </x:c>
      <x:c r="K471" s="23" t="n">
        <x:v>61</x:v>
      </x:c>
      <x:c r="L471" s="16" t="str">
        <x:v>https://www.youtube.com/watch?v=-UcfQnTk8dU</x:v>
      </x:c>
      <x:c r="M471" s="21" t="str">
        <x:v>YouTube</x:v>
      </x:c>
      <x:c r="N471" s="24" t="n">
        <x:v>735</x:v>
      </x:c>
      <x:c r="O471" s="22" t="str">
        <x:v>B | University / Conference / Institution</x:v>
      </x:c>
      <x:c r="P471" s="22" t="str">
        <x:v>Recommended</x:v>
      </x:c>
      <x:c r="Q471" s="22" t="str">
        <x:v>Verified</x:v>
      </x:c>
      <x:c r="R471" s="25" t="n">
        <x:v>46246</x:v>
      </x:c>
      <x:c r="S471" s="17" t="str">
        <x:v>Curated in the targeted ScholarTube expansion; public metadata accessible and editorially reviewed.</x:v>
      </x:c>
      <x:c r="T471" s="16" t="str">
        <x:v>-UcfQnTk8dU</x:v>
      </x:c>
    </x:row>
    <x:row r="472" ht="42" customHeight="1">
      <x:c r="A472" s="21" t="str">
        <x:v>ST-471</x:v>
      </x:c>
      <x:c r="B472" s="21" t="str">
        <x:v>Course</x:v>
      </x:c>
      <x:c r="C472" s="21" t="str">
        <x:v>Vision</x:v>
      </x:c>
      <x:c r="D472" s="17" t="str">
        <x:v>Computer Vision / 3D Vision</x:v>
      </x:c>
      <x:c r="E472" s="17" t="str">
        <x:v>Computer Vision / 3D Vision / Representation Learning</x:v>
      </x:c>
      <x:c r="F472" s="22" t="str">
        <x:v>English</x:v>
      </x:c>
      <x:c r="G472" s="17" t="str">
        <x:v>【2021-CVPR】 | OpenMMLab Tutorial Speaker：Jifeng Dai（SenseTime Research）</x:v>
      </x:c>
      <x:c r="H472" s="17" t="str">
        <x:v>To be added</x:v>
      </x:c>
      <x:c r="I472" s="17" t="str">
        <x:v>OpenMMLab</x:v>
      </x:c>
      <x:c r="J472" s="22" t="str">
        <x:v>Course / Tutorial</x:v>
      </x:c>
      <x:c r="K472" s="23" t="n">
        <x:v>35</x:v>
      </x:c>
      <x:c r="L472" s="16" t="str">
        <x:v>https://www.youtube.com/watch?v=LSJh2vryMUI</x:v>
      </x:c>
      <x:c r="M472" s="21" t="str">
        <x:v>YouTube</x:v>
      </x:c>
      <x:c r="N472" s="24" t="n">
        <x:v>496</x:v>
      </x:c>
      <x:c r="O472" s="22" t="str">
        <x:v>A | Official / Original Creator / Organizer</x:v>
      </x:c>
      <x:c r="P472" s="22" t="str">
        <x:v>Core</x:v>
      </x:c>
      <x:c r="Q472" s="22" t="str">
        <x:v>Verified</x:v>
      </x:c>
      <x:c r="R472" s="25" t="n">
        <x:v>46246</x:v>
      </x:c>
      <x:c r="S472" s="17" t="str">
        <x:v>Curated in the targeted ScholarTube expansion; official institution, conference, lab, course, or creator source.</x:v>
      </x:c>
      <x:c r="T472" s="16" t="str">
        <x:v>LSJh2vryMUI</x:v>
      </x:c>
    </x:row>
    <x:row r="473" ht="42" customHeight="1">
      <x:c r="A473" s="21" t="str">
        <x:v>ST-472</x:v>
      </x:c>
      <x:c r="B473" s="21" t="str">
        <x:v>Course</x:v>
      </x:c>
      <x:c r="C473" s="21" t="str">
        <x:v>Vision</x:v>
      </x:c>
      <x:c r="D473" s="17" t="str">
        <x:v>Computer Vision / 3D Vision</x:v>
      </x:c>
      <x:c r="E473" s="17" t="str">
        <x:v>Computer Vision / 3D Vision / Representation Learning</x:v>
      </x:c>
      <x:c r="F473" s="22" t="str">
        <x:v>English</x:v>
      </x:c>
      <x:c r="G473" s="17" t="str">
        <x:v>Lecture 3: Single and Multi-View Geometry</x:v>
      </x:c>
      <x:c r="H473" s="17" t="str">
        <x:v>To be added</x:v>
      </x:c>
      <x:c r="I473" s="17" t="str">
        <x:v>Nirma CV-ML-Robotics</x:v>
      </x:c>
      <x:c r="J473" s="22" t="str">
        <x:v>Course / Tutorial</x:v>
      </x:c>
      <x:c r="K473" s="23" t="n">
        <x:v>74</x:v>
      </x:c>
      <x:c r="L473" s="16" t="str">
        <x:v>https://www.youtube.com/watch?v=QIuxi8IgrR0</x:v>
      </x:c>
      <x:c r="M473" s="21" t="str">
        <x:v>YouTube</x:v>
      </x:c>
      <x:c r="N473" s="24" t="n">
        <x:v>321</x:v>
      </x:c>
      <x:c r="O473" s="22" t="str">
        <x:v>A | Official / Original Creator / Organizer</x:v>
      </x:c>
      <x:c r="P473" s="22" t="str">
        <x:v>Core</x:v>
      </x:c>
      <x:c r="Q473" s="22" t="str">
        <x:v>Verified</x:v>
      </x:c>
      <x:c r="R473" s="25" t="n">
        <x:v>46246</x:v>
      </x:c>
      <x:c r="S473" s="17" t="str">
        <x:v>Curated in the targeted ScholarTube expansion; official institution, conference, lab, course, or creator source.</x:v>
      </x:c>
      <x:c r="T473" s="16" t="str">
        <x:v>QIuxi8IgrR0</x:v>
      </x:c>
    </x:row>
    <x:row r="474" ht="42" customHeight="1">
      <x:c r="A474" s="21" t="str">
        <x:v>ST-473</x:v>
      </x:c>
      <x:c r="B474" s="21" t="str">
        <x:v>Course</x:v>
      </x:c>
      <x:c r="C474" s="21" t="str">
        <x:v>Vision</x:v>
      </x:c>
      <x:c r="D474" s="17" t="str">
        <x:v>Computer Vision / 3D Vision</x:v>
      </x:c>
      <x:c r="E474" s="17" t="str">
        <x:v>Computer Vision / 3D Vision / Representation Learning</x:v>
      </x:c>
      <x:c r="F474" s="22" t="str">
        <x:v>English</x:v>
      </x:c>
      <x:c r="G474" s="17" t="str">
        <x:v>OpenMMLab: A Foundational Platform for Computer Vision Research and Production | CVPR'22 Tutorial</x:v>
      </x:c>
      <x:c r="H474" s="17" t="str">
        <x:v>To be added</x:v>
      </x:c>
      <x:c r="I474" s="17" t="str">
        <x:v>Artificial Intelligence </x:v>
      </x:c>
      <x:c r="J474" s="22" t="str">
        <x:v>Course / Tutorial</x:v>
      </x:c>
      <x:c r="K474" s="23" t="n">
        <x:v>164</x:v>
      </x:c>
      <x:c r="L474" s="16" t="str">
        <x:v>https://www.youtube.com/watch?v=dc_BOBtLwHY</x:v>
      </x:c>
      <x:c r="M474" s="21" t="str">
        <x:v>YouTube</x:v>
      </x:c>
      <x:c r="N474" s="24" t="n">
        <x:v>2121</x:v>
      </x:c>
      <x:c r="O474" s="22" t="str">
        <x:v>B | University / Conference / Institution</x:v>
      </x:c>
      <x:c r="P474" s="22" t="str">
        <x:v>Recommended</x:v>
      </x:c>
      <x:c r="Q474" s="22" t="str">
        <x:v>Verified</x:v>
      </x:c>
      <x:c r="R474" s="25" t="n">
        <x:v>46246</x:v>
      </x:c>
      <x:c r="S474" s="17" t="str">
        <x:v>Curated in the targeted ScholarTube expansion; public metadata accessible and editorially reviewed.</x:v>
      </x:c>
      <x:c r="T474" s="16" t="str">
        <x:v>dc_BOBtLwHY</x:v>
      </x:c>
    </x:row>
    <x:row r="475" ht="42" customHeight="1">
      <x:c r="A475" s="21" t="str">
        <x:v>ST-474</x:v>
      </x:c>
      <x:c r="B475" s="21" t="str">
        <x:v>Course</x:v>
      </x:c>
      <x:c r="C475" s="21" t="str">
        <x:v>World Model</x:v>
      </x:c>
      <x:c r="D475" s="17" t="str">
        <x:v>World Models / Predictive Intelligence</x:v>
      </x:c>
      <x:c r="E475" s="17" t="str">
        <x:v>World Models / JEPA / Spatial Intelligence</x:v>
      </x:c>
      <x:c r="F475" s="22" t="str">
        <x:v>English</x:v>
      </x:c>
      <x:c r="G475" s="17" t="str">
        <x:v>MIT MAS.s60 - Fall 2025 | Spatial Intelligence | Guest Lecture by Neil Leach</x:v>
      </x:c>
      <x:c r="H475" s="17" t="str">
        <x:v>To be added</x:v>
      </x:c>
      <x:c r="I475" s="17" t="str">
        <x:v>Critical Matter Group</x:v>
      </x:c>
      <x:c r="J475" s="22" t="str">
        <x:v>Course / Tutorial</x:v>
      </x:c>
      <x:c r="K475" s="23" t="n">
        <x:v>90</x:v>
      </x:c>
      <x:c r="L475" s="16" t="str">
        <x:v>https://www.youtube.com/watch?v=bw38RuqG_38</x:v>
      </x:c>
      <x:c r="M475" s="21" t="str">
        <x:v>YouTube</x:v>
      </x:c>
      <x:c r="N475" s="24" t="n">
        <x:v>298</x:v>
      </x:c>
      <x:c r="O475" s="22" t="str">
        <x:v>B | University / Conference / Institution</x:v>
      </x:c>
      <x:c r="P475" s="22" t="str">
        <x:v>Recommended</x:v>
      </x:c>
      <x:c r="Q475" s="22" t="str">
        <x:v>Verified</x:v>
      </x:c>
      <x:c r="R475" s="25" t="n">
        <x:v>46246</x:v>
      </x:c>
      <x:c r="S475" s="17" t="str">
        <x:v>Curated in the targeted ScholarTube expansion; public metadata accessible and editorially reviewed.</x:v>
      </x:c>
      <x:c r="T475" s="16" t="str">
        <x:v>bw38RuqG_38</x:v>
      </x:c>
    </x:row>
    <x:row r="476" ht="42" customHeight="1">
      <x:c r="A476" s="21" t="str">
        <x:v>ST-475</x:v>
      </x:c>
      <x:c r="B476" s="21" t="str">
        <x:v>Course</x:v>
      </x:c>
      <x:c r="C476" s="21" t="str">
        <x:v>World Model</x:v>
      </x:c>
      <x:c r="D476" s="17" t="str">
        <x:v>World Models / Predictive Intelligence</x:v>
      </x:c>
      <x:c r="E476" s="17" t="str">
        <x:v>World Models / JEPA / Spatial Intelligence</x:v>
      </x:c>
      <x:c r="F476" s="22" t="str">
        <x:v>English</x:v>
      </x:c>
      <x:c r="G476" s="17" t="str">
        <x:v>I-JEPA Explained with a Single Batch Run</x:v>
      </x:c>
      <x:c r="H476" s="17" t="str">
        <x:v>To be added</x:v>
      </x:c>
      <x:c r="I476" s="17" t="str">
        <x:v>Mashaan Alshammari</x:v>
      </x:c>
      <x:c r="J476" s="22" t="str">
        <x:v>Course / Tutorial</x:v>
      </x:c>
      <x:c r="K476" s="23" t="n">
        <x:v>16</x:v>
      </x:c>
      <x:c r="L476" s="16" t="str">
        <x:v>https://www.youtube.com/watch?v=Cw8vKl-jD44</x:v>
      </x:c>
      <x:c r="M476" s="21" t="str">
        <x:v>YouTube</x:v>
      </x:c>
      <x:c r="N476" s="24" t="n">
        <x:v>7018</x:v>
      </x:c>
      <x:c r="O476" s="22" t="str">
        <x:v>B | University / Conference / Institution</x:v>
      </x:c>
      <x:c r="P476" s="22" t="str">
        <x:v>Recommended</x:v>
      </x:c>
      <x:c r="Q476" s="22" t="str">
        <x:v>Verified</x:v>
      </x:c>
      <x:c r="R476" s="25" t="n">
        <x:v>46246</x:v>
      </x:c>
      <x:c r="S476" s="17" t="str">
        <x:v>Curated in the targeted ScholarTube expansion; public metadata accessible and editorially reviewed.</x:v>
      </x:c>
      <x:c r="T476" s="16" t="str">
        <x:v>Cw8vKl-jD44</x:v>
      </x:c>
    </x:row>
    <x:row r="477" ht="42" customHeight="1">
      <x:c r="A477" s="21" t="str">
        <x:v>ST-476</x:v>
      </x:c>
      <x:c r="B477" s="21" t="str">
        <x:v>Course</x:v>
      </x:c>
      <x:c r="C477" s="21" t="str">
        <x:v>World Model</x:v>
      </x:c>
      <x:c r="D477" s="17" t="str">
        <x:v>World Models / Predictive Intelligence</x:v>
      </x:c>
      <x:c r="E477" s="17" t="str">
        <x:v>World Models / JEPA / Spatial Intelligence</x:v>
      </x:c>
      <x:c r="F477" s="22" t="str">
        <x:v>English</x:v>
      </x:c>
      <x:c r="G477" s="17" t="str">
        <x:v>Lecture 11.3: World Models</x:v>
      </x:c>
      <x:c r="H477" s="17" t="str">
        <x:v>To be added</x:v>
      </x:c>
      <x:c r="I477" s="17" t="str">
        <x:v>DLVU</x:v>
      </x:c>
      <x:c r="J477" s="22" t="str">
        <x:v>Course / Tutorial</x:v>
      </x:c>
      <x:c r="K477" s="23" t="n">
        <x:v>24</x:v>
      </x:c>
      <x:c r="L477" s="16" t="str">
        <x:v>https://www.youtube.com/watch?v=zNCq1r4qI4Q</x:v>
      </x:c>
      <x:c r="M477" s="21" t="str">
        <x:v>YouTube</x:v>
      </x:c>
      <x:c r="N477" s="24" t="n">
        <x:v>2198</x:v>
      </x:c>
      <x:c r="O477" s="22" t="str">
        <x:v>B | University / Conference / Institution</x:v>
      </x:c>
      <x:c r="P477" s="22" t="str">
        <x:v>Recommended</x:v>
      </x:c>
      <x:c r="Q477" s="22" t="str">
        <x:v>Verified</x:v>
      </x:c>
      <x:c r="R477" s="25" t="n">
        <x:v>46246</x:v>
      </x:c>
      <x:c r="S477" s="17" t="str">
        <x:v>Curated in the targeted ScholarTube expansion; public metadata accessible and editorially reviewed.</x:v>
      </x:c>
      <x:c r="T477" s="16" t="str">
        <x:v>zNCq1r4qI4Q</x:v>
      </x:c>
    </x:row>
    <x:row r="478" ht="42" customHeight="1">
      <x:c r="A478" s="21" t="str">
        <x:v>ST-477</x:v>
      </x:c>
      <x:c r="B478" s="21" t="str">
        <x:v>Course</x:v>
      </x:c>
      <x:c r="C478" s="21" t="str">
        <x:v>Robotics</x:v>
      </x:c>
      <x:c r="D478" s="17" t="str">
        <x:v>Robotics / Embodied AI</x:v>
      </x:c>
      <x:c r="E478" s="17" t="str">
        <x:v>Robot Learning / Embodied AI / Control</x:v>
      </x:c>
      <x:c r="F478" s="22" t="str">
        <x:v>English</x:v>
      </x:c>
      <x:c r="G478" s="17" t="str">
        <x:v>Import ANY Robot (URDF): From CAD to Isaac Sim | NVIDIA Omniverse Tutorial</x:v>
      </x:c>
      <x:c r="H478" s="17" t="str">
        <x:v>To be added</x:v>
      </x:c>
      <x:c r="I478" s="17" t="str">
        <x:v>LycheeAI and krubots</x:v>
      </x:c>
      <x:c r="J478" s="22" t="str">
        <x:v>Course / Tutorial</x:v>
      </x:c>
      <x:c r="K478" s="23" t="n">
        <x:v>14</x:v>
      </x:c>
      <x:c r="L478" s="16" t="str">
        <x:v>https://www.youtube.com/watch?v=KCHmYvYF_6c</x:v>
      </x:c>
      <x:c r="M478" s="21" t="str">
        <x:v>YouTube</x:v>
      </x:c>
      <x:c r="N478" s="24" t="n">
        <x:v>10435</x:v>
      </x:c>
      <x:c r="O478" s="22" t="str">
        <x:v>B | University / Conference / Institution</x:v>
      </x:c>
      <x:c r="P478" s="22" t="str">
        <x:v>Recommended</x:v>
      </x:c>
      <x:c r="Q478" s="22" t="str">
        <x:v>Verified</x:v>
      </x:c>
      <x:c r="R478" s="25" t="n">
        <x:v>46246</x:v>
      </x:c>
      <x:c r="S478" s="17" t="str">
        <x:v>Curated in the targeted ScholarTube expansion; public metadata accessible and editorially reviewed.</x:v>
      </x:c>
      <x:c r="T478" s="16" t="str">
        <x:v>KCHmYvYF_6c</x:v>
      </x:c>
    </x:row>
    <x:row r="479" ht="42" customHeight="1">
      <x:c r="A479" s="21" t="str">
        <x:v>ST-478</x:v>
      </x:c>
      <x:c r="B479" s="21" t="str">
        <x:v>Course</x:v>
      </x:c>
      <x:c r="C479" s="21" t="str">
        <x:v>Robotics</x:v>
      </x:c>
      <x:c r="D479" s="17" t="str">
        <x:v>Robotics / Embodied AI</x:v>
      </x:c>
      <x:c r="E479" s="17" t="str">
        <x:v>Robot Learning / Embodied AI / Control</x:v>
      </x:c>
      <x:c r="F479" s="22" t="str">
        <x:v>English</x:v>
      </x:c>
      <x:c r="G479" s="17" t="str">
        <x:v>[Tutorial w/ Code] How I Use IsaacSim with Docker, ROS2, &amp; Octomap for Robotics PhD Research</x:v>
      </x:c>
      <x:c r="H479" s="17" t="str">
        <x:v>To be added</x:v>
      </x:c>
      <x:c r="I479" s="17" t="str">
        <x:v>Code Mechanics: My PhD Life in AI &amp; Robotics</x:v>
      </x:c>
      <x:c r="J479" s="22" t="str">
        <x:v>Course / Tutorial</x:v>
      </x:c>
      <x:c r="K479" s="23" t="n">
        <x:v>19</x:v>
      </x:c>
      <x:c r="L479" s="16" t="str">
        <x:v>https://www.youtube.com/watch?v=9EkkdjW4N54</x:v>
      </x:c>
      <x:c r="M479" s="21" t="str">
        <x:v>YouTube</x:v>
      </x:c>
      <x:c r="N479" s="24" t="n">
        <x:v>6367</x:v>
      </x:c>
      <x:c r="O479" s="22" t="str">
        <x:v>A | Official / Original Creator / Organizer</x:v>
      </x:c>
      <x:c r="P479" s="22" t="str">
        <x:v>Core</x:v>
      </x:c>
      <x:c r="Q479" s="22" t="str">
        <x:v>Verified</x:v>
      </x:c>
      <x:c r="R479" s="25" t="n">
        <x:v>46246</x:v>
      </x:c>
      <x:c r="S479" s="17" t="str">
        <x:v>Curated in the targeted ScholarTube expansion; official institution, conference, lab, course, or creator source.</x:v>
      </x:c>
      <x:c r="T479" s="16" t="str">
        <x:v>9EkkdjW4N54</x:v>
      </x:c>
    </x:row>
    <x:row r="480" ht="42" customHeight="1">
      <x:c r="A480" s="21" t="str">
        <x:v>ST-479</x:v>
      </x:c>
      <x:c r="B480" s="21" t="str">
        <x:v>Course</x:v>
      </x:c>
      <x:c r="C480" s="21" t="str">
        <x:v>Robotics</x:v>
      </x:c>
      <x:c r="D480" s="17" t="str">
        <x:v>Robotics / Embodied AI</x:v>
      </x:c>
      <x:c r="E480" s="17" t="str">
        <x:v>Robot Learning / Embodied AI / Control</x:v>
      </x:c>
      <x:c r="F480" s="22" t="str">
        <x:v>English</x:v>
      </x:c>
      <x:c r="G480" s="17" t="str">
        <x:v>NVIDIA Cosmos World Foundation Model Explained: Physical AI Robotics Development</x:v>
      </x:c>
      <x:c r="H480" s="17" t="str">
        <x:v>To be added</x:v>
      </x:c>
      <x:c r="I480" s="17" t="str">
        <x:v>Kevin Wood | Robotics &amp; AI</x:v>
      </x:c>
      <x:c r="J480" s="22" t="str">
        <x:v>Course / Tutorial</x:v>
      </x:c>
      <x:c r="K480" s="23" t="n">
        <x:v>10</x:v>
      </x:c>
      <x:c r="L480" s="16" t="str">
        <x:v>https://www.youtube.com/watch?v=ykjQdbtDJoM</x:v>
      </x:c>
      <x:c r="M480" s="21" t="str">
        <x:v>YouTube</x:v>
      </x:c>
      <x:c r="N480" s="24" t="n">
        <x:v>3877</x:v>
      </x:c>
      <x:c r="O480" s="22" t="str">
        <x:v>A | Official / Original Creator / Organizer</x:v>
      </x:c>
      <x:c r="P480" s="22" t="str">
        <x:v>Core</x:v>
      </x:c>
      <x:c r="Q480" s="22" t="str">
        <x:v>Verified</x:v>
      </x:c>
      <x:c r="R480" s="25" t="n">
        <x:v>46246</x:v>
      </x:c>
      <x:c r="S480" s="17" t="str">
        <x:v>Curated in the targeted ScholarTube expansion; official institution, conference, lab, course, or creator source.</x:v>
      </x:c>
      <x:c r="T480" s="16" t="str">
        <x:v>ykjQdbtDJoM</x:v>
      </x:c>
    </x:row>
    <x:row r="481" ht="42" customHeight="1">
      <x:c r="A481" s="21" t="str">
        <x:v>ST-480</x:v>
      </x:c>
      <x:c r="B481" s="21" t="str">
        <x:v>Interview</x:v>
      </x:c>
      <x:c r="C481" s="21" t="str">
        <x:v>Vision</x:v>
      </x:c>
      <x:c r="D481" s="17" t="str">
        <x:v>Computer Vision / 3D Vision</x:v>
      </x:c>
      <x:c r="E481" s="17" t="str">
        <x:v>Computer Vision / 3D Vision / Representation Learning</x:v>
      </x:c>
      <x:c r="F481" s="22" t="str">
        <x:v>English</x:v>
      </x:c>
      <x:c r="G481" s="17" t="str">
        <x:v>Ep#8: VGGT: Visual Geometry Grounded Transformer</x:v>
      </x:c>
      <x:c r="H481" s="17" t="str">
        <x:v>Jianyuan Wang</x:v>
      </x:c>
      <x:c r="I481" s="17" t="str">
        <x:v>Chris Paxton</x:v>
      </x:c>
      <x:c r="J481" s="22" t="str">
        <x:v>Research Interview</x:v>
      </x:c>
      <x:c r="K481" s="23" t="n">
        <x:v>59</x:v>
      </x:c>
      <x:c r="L481" s="16" t="str">
        <x:v>https://www.youtube.com/watch?v=Cwue59SAF5Q</x:v>
      </x:c>
      <x:c r="M481" s="21" t="str">
        <x:v>YouTube</x:v>
      </x:c>
      <x:c r="N481" s="24" t="n">
        <x:v>1513</x:v>
      </x:c>
      <x:c r="O481" s="22" t="str">
        <x:v>B | University / Conference / Institution</x:v>
      </x:c>
      <x:c r="P481" s="22" t="str">
        <x:v>Recommended</x:v>
      </x:c>
      <x:c r="Q481" s="22" t="str">
        <x:v>Verified</x:v>
      </x:c>
      <x:c r="R481" s="25" t="n">
        <x:v>46246</x:v>
      </x:c>
      <x:c r="S481" s="17" t="str">
        <x:v>Curated in the targeted ScholarTube expansion; public metadata accessible and editorially reviewed.</x:v>
      </x:c>
      <x:c r="T481" s="16" t="str">
        <x:v>Cwue59SAF5Q</x:v>
      </x:c>
    </x:row>
    <x:row r="482" ht="42" customHeight="1">
      <x:c r="A482" s="21" t="str">
        <x:v>ST-481</x:v>
      </x:c>
      <x:c r="B482" s="21" t="str">
        <x:v>Talk</x:v>
      </x:c>
      <x:c r="C482" s="21" t="str">
        <x:v>Vision</x:v>
      </x:c>
      <x:c r="D482" s="17" t="str">
        <x:v>Computer Vision / 3D Vision</x:v>
      </x:c>
      <x:c r="E482" s="17" t="str">
        <x:v>Computer Vision / 3D Vision / Representation Learning</x:v>
      </x:c>
      <x:c r="F482" s="22" t="str">
        <x:v>English</x:v>
      </x:c>
      <x:c r="G482" s="17" t="str">
        <x:v>VGGT: Visual Geometry Grounded Transformer</x:v>
      </x:c>
      <x:c r="H482" s="17" t="str">
        <x:v>Jianyuan Wang</x:v>
      </x:c>
      <x:c r="I482" s="17" t="str">
        <x:v>Jianyuan Wang</x:v>
      </x:c>
      <x:c r="J482" s="22" t="str">
        <x:v>Academic Talk / Research Seminar</x:v>
      </x:c>
      <x:c r="K482" s="23" t="n">
        <x:v>12</x:v>
      </x:c>
      <x:c r="L482" s="16" t="str">
        <x:v>https://www.youtube.com/watch?v=7ZYwJEpCUUA</x:v>
      </x:c>
      <x:c r="M482" s="21" t="str">
        <x:v>YouTube</x:v>
      </x:c>
      <x:c r="N482" s="24" t="n">
        <x:v>5600</x:v>
      </x:c>
      <x:c r="O482" s="22" t="str">
        <x:v>A | Official / Original Creator / Organizer</x:v>
      </x:c>
      <x:c r="P482" s="22" t="str">
        <x:v>Core</x:v>
      </x:c>
      <x:c r="Q482" s="22" t="str">
        <x:v>Verified</x:v>
      </x:c>
      <x:c r="R482" s="25" t="n">
        <x:v>46246</x:v>
      </x:c>
      <x:c r="S482" s="17" t="str">
        <x:v>Curated in the targeted ScholarTube expansion; official institution, conference, lab, course, or creator source.</x:v>
      </x:c>
      <x:c r="T482" s="16" t="str">
        <x:v>7ZYwJEpCUUA</x:v>
      </x:c>
    </x:row>
    <x:row r="483" ht="42" customHeight="1">
      <x:c r="A483" s="21" t="str">
        <x:v>ST-482</x:v>
      </x:c>
      <x:c r="B483" s="21" t="str">
        <x:v>Course</x:v>
      </x:c>
      <x:c r="C483" s="21" t="str">
        <x:v>Agent</x:v>
      </x:c>
      <x:c r="D483" s="17" t="str">
        <x:v>Agents / Tool Use / Reasoning</x:v>
      </x:c>
      <x:c r="E483" s="17" t="str">
        <x:v>Agents / Reasoning / Tool Use</x:v>
      </x:c>
      <x:c r="F483" s="22" t="str">
        <x:v>English</x:v>
      </x:c>
      <x:c r="G483" s="17" t="str">
        <x:v>LLM Agents MOOC | UC Berkeley Fa24 | Neural &amp; Symbolic Decision Making Framework by Yuandong Tian</x:v>
      </x:c>
      <x:c r="H483" s="17" t="str">
        <x:v>Yuandong Tian</x:v>
      </x:c>
      <x:c r="I483" s="17" t="str">
        <x:v>Berkeley RDI</x:v>
      </x:c>
      <x:c r="J483" s="22" t="str">
        <x:v>Course / Tutorial</x:v>
      </x:c>
      <x:c r="K483" s="23" t="n">
        <x:v>70</x:v>
      </x:c>
      <x:c r="L483" s="16" t="str">
        <x:v>https://www.youtube.com/watch?v=wm9-7VBpdEo</x:v>
      </x:c>
      <x:c r="M483" s="21" t="str">
        <x:v>YouTube</x:v>
      </x:c>
      <x:c r="N483" s="24" t="n">
        <x:v>11514</x:v>
      </x:c>
      <x:c r="O483" s="22" t="str">
        <x:v>A | Official / Original Creator / Organizer</x:v>
      </x:c>
      <x:c r="P483" s="22" t="str">
        <x:v>Core</x:v>
      </x:c>
      <x:c r="Q483" s="22" t="str">
        <x:v>Verified</x:v>
      </x:c>
      <x:c r="R483" s="25" t="n">
        <x:v>46246</x:v>
      </x:c>
      <x:c r="S483" s="17" t="str">
        <x:v>Curated in the targeted ScholarTube expansion; official institution, conference, lab, course, or creator source.</x:v>
      </x:c>
      <x:c r="T483" s="16" t="str">
        <x:v>wm9-7VBpdEo</x:v>
      </x:c>
    </x:row>
    <x:row r="484" ht="42" customHeight="1">
      <x:c r="A484" s="21" t="str">
        <x:v>ST-483</x:v>
      </x:c>
      <x:c r="B484" s="21" t="str">
        <x:v>Talk</x:v>
      </x:c>
      <x:c r="C484" s="21" t="str">
        <x:v>Agent</x:v>
      </x:c>
      <x:c r="D484" s="17" t="str">
        <x:v>Agents / Tool Use / Reasoning</x:v>
      </x:c>
      <x:c r="E484" s="17" t="str">
        <x:v>Agents / Reasoning / Tool Use</x:v>
      </x:c>
      <x:c r="F484" s="22" t="str">
        <x:v>English</x:v>
      </x:c>
      <x:c r="G484" s="17" t="str">
        <x:v>Yuandong Tian: Inside-out interpretability: training dynamics in multi-layer transformer</x:v>
      </x:c>
      <x:c r="H484" s="17" t="str">
        <x:v>Yuandong Tian</x:v>
      </x:c>
      <x:c r="I484" s="17" t="str">
        <x:v>Berkeley RDI</x:v>
      </x:c>
      <x:c r="J484" s="22" t="str">
        <x:v>Academic Talk / Research Seminar</x:v>
      </x:c>
      <x:c r="K484" s="23" t="n">
        <x:v>67</x:v>
      </x:c>
      <x:c r="L484" s="16" t="str">
        <x:v>https://www.youtube.com/watch?v=zceRqUGyLh4</x:v>
      </x:c>
      <x:c r="M484" s="21" t="str">
        <x:v>YouTube</x:v>
      </x:c>
      <x:c r="N484" s="24" t="n">
        <x:v>514</x:v>
      </x:c>
      <x:c r="O484" s="22" t="str">
        <x:v>A | Official / Original Creator / Organizer</x:v>
      </x:c>
      <x:c r="P484" s="22" t="str">
        <x:v>Core</x:v>
      </x:c>
      <x:c r="Q484" s="22" t="str">
        <x:v>Verified</x:v>
      </x:c>
      <x:c r="R484" s="25" t="n">
        <x:v>46246</x:v>
      </x:c>
      <x:c r="S484" s="17" t="str">
        <x:v>Curated in the targeted ScholarTube expansion; official institution, conference, lab, course, or creator source.</x:v>
      </x:c>
      <x:c r="T484" s="16" t="str">
        <x:v>zceRqUGyLh4</x:v>
      </x:c>
    </x:row>
    <x:row r="485" ht="42" customHeight="1">
      <x:c r="A485" s="21" t="str">
        <x:v>ST-484</x:v>
      </x:c>
      <x:c r="B485" s="21" t="str">
        <x:v>Talk</x:v>
      </x:c>
      <x:c r="C485" s="21" t="str">
        <x:v>World Model</x:v>
      </x:c>
      <x:c r="D485" s="17" t="str">
        <x:v>World Models / Predictive Intelligence</x:v>
      </x:c>
      <x:c r="E485" s="17" t="str">
        <x:v>World Models / JEPA / Spatial Intelligence</x:v>
      </x:c>
      <x:c r="F485" s="22" t="str">
        <x:v>English</x:v>
      </x:c>
      <x:c r="G485" s="17" t="str">
        <x:v>Yuandong Tian - Finding Good Representation for Search and Exploration in RL @ UCL DARK</x:v>
      </x:c>
      <x:c r="H485" s="17" t="str">
        <x:v>Yuandong Tian</x:v>
      </x:c>
      <x:c r="I485" s="17" t="str">
        <x:v>UCL DARK</x:v>
      </x:c>
      <x:c r="J485" s="22" t="str">
        <x:v>Academic Talk / Research Seminar</x:v>
      </x:c>
      <x:c r="K485" s="23" t="n">
        <x:v>48</x:v>
      </x:c>
      <x:c r="L485" s="16" t="str">
        <x:v>https://www.youtube.com/watch?v=sH4a2a0ntUA</x:v>
      </x:c>
      <x:c r="M485" s="21" t="str">
        <x:v>YouTube</x:v>
      </x:c>
      <x:c r="N485" s="24" t="n">
        <x:v>997</x:v>
      </x:c>
      <x:c r="O485" s="22" t="str">
        <x:v>A | Official / Original Creator / Organizer</x:v>
      </x:c>
      <x:c r="P485" s="22" t="str">
        <x:v>Core</x:v>
      </x:c>
      <x:c r="Q485" s="22" t="str">
        <x:v>Verified</x:v>
      </x:c>
      <x:c r="R485" s="25" t="n">
        <x:v>46246</x:v>
      </x:c>
      <x:c r="S485" s="17" t="str">
        <x:v>Curated in the targeted ScholarTube expansion; official institution, conference, lab, course, or creator source.</x:v>
      </x:c>
      <x:c r="T485" s="16" t="str">
        <x:v>sH4a2a0ntUA</x:v>
      </x:c>
    </x:row>
    <x:row r="486" ht="42" customHeight="1">
      <x:c r="A486" s="21" t="str">
        <x:v>ST-485</x:v>
      </x:c>
      <x:c r="B486" s="21" t="str">
        <x:v>Talk</x:v>
      </x:c>
      <x:c r="C486" s="21" t="str">
        <x:v>Agent</x:v>
      </x:c>
      <x:c r="D486" s="17" t="str">
        <x:v>Agents / Tool Use / Reasoning</x:v>
      </x:c>
      <x:c r="E486" s="17" t="str">
        <x:v>Agents / Reasoning / Tool Use</x:v>
      </x:c>
      <x:c r="F486" s="22" t="str">
        <x:v>English</x:v>
      </x:c>
      <x:c r="G486" s="17" t="str">
        <x:v>[Tensor Learning Team Seminar] Talk by Dr. Yuandong Tian, Meta AI Research (FAIR)</x:v>
      </x:c>
      <x:c r="H486" s="17" t="str">
        <x:v>Yuandong Tian</x:v>
      </x:c>
      <x:c r="I486" s="17" t="str">
        <x:v>RIKEN AIP</x:v>
      </x:c>
      <x:c r="J486" s="22" t="str">
        <x:v>Academic Talk / Research Seminar</x:v>
      </x:c>
      <x:c r="K486" s="23" t="n">
        <x:v>71</x:v>
      </x:c>
      <x:c r="L486" s="16" t="str">
        <x:v>https://www.youtube.com/watch?v=u05Z74dF0Gg</x:v>
      </x:c>
      <x:c r="M486" s="21" t="str">
        <x:v>YouTube</x:v>
      </x:c>
      <x:c r="N486" s="24" t="n">
        <x:v>464</x:v>
      </x:c>
      <x:c r="O486" s="22" t="str">
        <x:v>A | Official / Original Creator / Organizer</x:v>
      </x:c>
      <x:c r="P486" s="22" t="str">
        <x:v>Core</x:v>
      </x:c>
      <x:c r="Q486" s="22" t="str">
        <x:v>Verified</x:v>
      </x:c>
      <x:c r="R486" s="25" t="n">
        <x:v>46246</x:v>
      </x:c>
      <x:c r="S486" s="17" t="str">
        <x:v>Curated in the targeted ScholarTube expansion; official institution, conference, lab, course, or creator source.</x:v>
      </x:c>
      <x:c r="T486" s="16" t="str">
        <x:v>u05Z74dF0Gg</x:v>
      </x:c>
    </x:row>
    <x:row r="487" ht="42" customHeight="1">
      <x:c r="A487" s="21" t="str">
        <x:v>ST-486</x:v>
      </x:c>
      <x:c r="B487" s="21" t="str">
        <x:v>Talk</x:v>
      </x:c>
      <x:c r="C487" s="21" t="str">
        <x:v>Agent</x:v>
      </x:c>
      <x:c r="D487" s="17" t="str">
        <x:v>Agents / Tool Use / Reasoning</x:v>
      </x:c>
      <x:c r="E487" s="17" t="str">
        <x:v>Agents / Reasoning / Tool Use</x:v>
      </x:c>
      <x:c r="F487" s="22" t="str">
        <x:v>English</x:v>
      </x:c>
      <x:c r="G487" s="17" t="str">
        <x:v>Yuandong Tian - AI-guided nonlinear optimization for real-world problems - IPAM at UCLA</x:v>
      </x:c>
      <x:c r="H487" s="17" t="str">
        <x:v>Yuandong Tian</x:v>
      </x:c>
      <x:c r="I487" s="17" t="str">
        <x:v>Institute for Pure &amp; Applied Mathematics (IPAM)</x:v>
      </x:c>
      <x:c r="J487" s="22" t="str">
        <x:v>Academic Talk / Research Seminar</x:v>
      </x:c>
      <x:c r="K487" s="23" t="n">
        <x:v>54</x:v>
      </x:c>
      <x:c r="L487" s="16" t="str">
        <x:v>https://www.youtube.com/watch?v=REF8aS2u74k</x:v>
      </x:c>
      <x:c r="M487" s="21" t="str">
        <x:v>YouTube</x:v>
      </x:c>
      <x:c r="N487" s="24" t="n">
        <x:v>1732</x:v>
      </x:c>
      <x:c r="O487" s="22" t="str">
        <x:v>A | Official / Original Creator / Organizer</x:v>
      </x:c>
      <x:c r="P487" s="22" t="str">
        <x:v>Core</x:v>
      </x:c>
      <x:c r="Q487" s="22" t="str">
        <x:v>Verified</x:v>
      </x:c>
      <x:c r="R487" s="25" t="n">
        <x:v>46246</x:v>
      </x:c>
      <x:c r="S487" s="17" t="str">
        <x:v>Curated in the targeted ScholarTube expansion; official institution, conference, lab, course, or creator source.</x:v>
      </x:c>
      <x:c r="T487" s="16" t="str">
        <x:v>REF8aS2u74k</x:v>
      </x:c>
    </x:row>
    <x:row r="488" ht="42" customHeight="1">
      <x:c r="A488" s="21" t="str">
        <x:v>ST-487</x:v>
      </x:c>
      <x:c r="B488" s="21" t="str">
        <x:v>Talk</x:v>
      </x:c>
      <x:c r="C488" s="21" t="str">
        <x:v>Agent</x:v>
      </x:c>
      <x:c r="D488" s="17" t="str">
        <x:v>Agents / Tool Use / Reasoning</x:v>
      </x:c>
      <x:c r="E488" s="17" t="str">
        <x:v>Agents / Reasoning / Tool Use</x:v>
      </x:c>
      <x:c r="F488" s="22" t="str">
        <x:v>English</x:v>
      </x:c>
      <x:c r="G488" s="17" t="str">
        <x:v>Understanding deep networks and its role played in prioritized search - Yuandong Tian</x:v>
      </x:c>
      <x:c r="H488" s="17" t="str">
        <x:v>Yuandong Tian</x:v>
      </x:c>
      <x:c r="I488" s="17" t="str">
        <x:v>Institute for Advanced Study</x:v>
      </x:c>
      <x:c r="J488" s="22" t="str">
        <x:v>Academic Talk / Research Seminar</x:v>
      </x:c>
      <x:c r="K488" s="23" t="n">
        <x:v>41</x:v>
      </x:c>
      <x:c r="L488" s="16" t="str">
        <x:v>https://www.youtube.com/watch?v=Iw34FubV8wg</x:v>
      </x:c>
      <x:c r="M488" s="21" t="str">
        <x:v>YouTube</x:v>
      </x:c>
      <x:c r="N488" s="24" t="n">
        <x:v>636</x:v>
      </x:c>
      <x:c r="O488" s="22" t="str">
        <x:v>A | Official / Original Creator / Organizer</x:v>
      </x:c>
      <x:c r="P488" s="22" t="str">
        <x:v>Core</x:v>
      </x:c>
      <x:c r="Q488" s="22" t="str">
        <x:v>Verified</x:v>
      </x:c>
      <x:c r="R488" s="25" t="n">
        <x:v>46246</x:v>
      </x:c>
      <x:c r="S488" s="17" t="str">
        <x:v>Curated in the targeted ScholarTube expansion; official institution, conference, lab, course, or creator source.</x:v>
      </x:c>
      <x:c r="T488" s="16" t="str">
        <x:v>Iw34FubV8wg</x:v>
      </x:c>
    </x:row>
    <x:row r="489" ht="42" customHeight="1">
      <x:c r="A489" s="21" t="str">
        <x:v>ST-488</x:v>
      </x:c>
      <x:c r="B489" s="21" t="str">
        <x:v>Talk</x:v>
      </x:c>
      <x:c r="C489" s="21" t="str">
        <x:v>Agent</x:v>
      </x:c>
      <x:c r="D489" s="17" t="str">
        <x:v>Agents / Tool Use / Reasoning</x:v>
      </x:c>
      <x:c r="E489" s="17" t="str">
        <x:v>Agents / Reasoning / Tool Use</x:v>
      </x:c>
      <x:c r="F489" s="22" t="str">
        <x:v>English</x:v>
      </x:c>
      <x:c r="G489" s="17" t="str">
        <x:v>Stronger Together: Marrying Deep Models with Traditional Symbolic Decision-Making (Yuandong Tian)</x:v>
      </x:c>
      <x:c r="H489" s="17" t="str">
        <x:v>Yuandong Tian</x:v>
      </x:c>
      <x:c r="I489" s="17" t="str">
        <x:v>Yisong Yue</x:v>
      </x:c>
      <x:c r="J489" s="22" t="str">
        <x:v>Academic Talk / Research Seminar</x:v>
      </x:c>
      <x:c r="K489" s="23" t="n">
        <x:v>74</x:v>
      </x:c>
      <x:c r="L489" s="16" t="str">
        <x:v>https://www.youtube.com/watch?v=uxHkNeCs2PI</x:v>
      </x:c>
      <x:c r="M489" s="21" t="str">
        <x:v>YouTube</x:v>
      </x:c>
      <x:c r="N489" s="24" t="n">
        <x:v>841</x:v>
      </x:c>
      <x:c r="O489" s="22" t="str">
        <x:v>B | University / Conference / Institution</x:v>
      </x:c>
      <x:c r="P489" s="22" t="str">
        <x:v>Recommended</x:v>
      </x:c>
      <x:c r="Q489" s="22" t="str">
        <x:v>Verified</x:v>
      </x:c>
      <x:c r="R489" s="25" t="n">
        <x:v>46246</x:v>
      </x:c>
      <x:c r="S489" s="17" t="str">
        <x:v>Curated in the targeted ScholarTube expansion; public metadata accessible and editorially reviewed.</x:v>
      </x:c>
      <x:c r="T489" s="16" t="str">
        <x:v>uxHkNeCs2PI</x:v>
      </x:c>
    </x:row>
    <x:row r="490" ht="42" customHeight="1">
      <x:c r="A490" s="21" t="str">
        <x:v>ST-489</x:v>
      </x:c>
      <x:c r="B490" s="21" t="str">
        <x:v>Talk</x:v>
      </x:c>
      <x:c r="C490" s="21" t="str">
        <x:v>Agent</x:v>
      </x:c>
      <x:c r="D490" s="17" t="str">
        <x:v>Agents / Tool Use / Reasoning</x:v>
      </x:c>
      <x:c r="E490" s="17" t="str">
        <x:v>Agents / Reasoning / Tool Use</x:v>
      </x:c>
      <x:c r="F490" s="22" t="str">
        <x:v>English</x:v>
      </x:c>
      <x:c r="G490" s="17" t="str">
        <x:v>Learning Multi-Agent Collaborations With Decomposition</x:v>
      </x:c>
      <x:c r="H490" s="17" t="str">
        <x:v>Yuandong Tian</x:v>
      </x:c>
      <x:c r="I490" s="17" t="str">
        <x:v>Simons Institute for the Theory of Computing</x:v>
      </x:c>
      <x:c r="J490" s="22" t="str">
        <x:v>Academic Talk / Research Seminar</x:v>
      </x:c>
      <x:c r="K490" s="23" t="n">
        <x:v>30</x:v>
      </x:c>
      <x:c r="L490" s="16" t="str">
        <x:v>https://www.youtube.com/watch?v=iP_VRlFgNYA</x:v>
      </x:c>
      <x:c r="M490" s="21" t="str">
        <x:v>YouTube</x:v>
      </x:c>
      <x:c r="N490" s="24" t="n">
        <x:v>1043</x:v>
      </x:c>
      <x:c r="O490" s="22" t="str">
        <x:v>A | Official / Original Creator / Organizer</x:v>
      </x:c>
      <x:c r="P490" s="22" t="str">
        <x:v>Core</x:v>
      </x:c>
      <x:c r="Q490" s="22" t="str">
        <x:v>Verified</x:v>
      </x:c>
      <x:c r="R490" s="25" t="n">
        <x:v>46246</x:v>
      </x:c>
      <x:c r="S490" s="17" t="str">
        <x:v>Curated in the targeted ScholarTube expansion; official institution, conference, lab, course, or creator source.</x:v>
      </x:c>
      <x:c r="T490" s="16" t="str">
        <x:v>iP_VRlFgNYA</x:v>
      </x:c>
    </x:row>
    <x:row r="491" ht="42" customHeight="1">
      <x:c r="A491" s="21" t="str">
        <x:v>ST-490</x:v>
      </x:c>
      <x:c r="B491" s="21" t="str">
        <x:v>Talk</x:v>
      </x:c>
      <x:c r="C491" s="21" t="str">
        <x:v>Agent</x:v>
      </x:c>
      <x:c r="D491" s="17" t="str">
        <x:v>Agents / Tool Use / Reasoning</x:v>
      </x:c>
      <x:c r="E491" s="17" t="str">
        <x:v>Agents / Reasoning / Tool Use</x:v>
      </x:c>
      <x:c r="F491" s="22" t="str">
        <x:v>English</x:v>
      </x:c>
      <x:c r="G491" s="17" t="str">
        <x:v>Yuandong Tian | Efficient Inference of LLMs with Long Context Support</x:v>
      </x:c>
      <x:c r="H491" s="17" t="str">
        <x:v>Yuandong Tian</x:v>
      </x:c>
      <x:c r="I491" s="17" t="str">
        <x:v>London Machine Learning Meetup</x:v>
      </x:c>
      <x:c r="J491" s="22" t="str">
        <x:v>Academic Talk / Research Seminar</x:v>
      </x:c>
      <x:c r="K491" s="23" t="n">
        <x:v>54</x:v>
      </x:c>
      <x:c r="L491" s="16" t="str">
        <x:v>https://www.youtube.com/watch?v=eXPhvQgAT_I</x:v>
      </x:c>
      <x:c r="M491" s="21" t="str">
        <x:v>YouTube</x:v>
      </x:c>
      <x:c r="N491" s="24" t="n">
        <x:v>1292</x:v>
      </x:c>
      <x:c r="O491" s="22" t="str">
        <x:v>B | University / Conference / Institution</x:v>
      </x:c>
      <x:c r="P491" s="22" t="str">
        <x:v>Recommended</x:v>
      </x:c>
      <x:c r="Q491" s="22" t="str">
        <x:v>Verified</x:v>
      </x:c>
      <x:c r="R491" s="25" t="n">
        <x:v>46246</x:v>
      </x:c>
      <x:c r="S491" s="17" t="str">
        <x:v>Curated in the targeted ScholarTube expansion; public metadata accessible and editorially reviewed.</x:v>
      </x:c>
      <x:c r="T491" s="16" t="str">
        <x:v>eXPhvQgAT_I</x:v>
      </x:c>
    </x:row>
    <x:row r="492" ht="42" customHeight="1">
      <x:c r="A492" s="21" t="str">
        <x:v>ST-491</x:v>
      </x:c>
      <x:c r="B492" s="21" t="str">
        <x:v>Talk</x:v>
      </x:c>
      <x:c r="C492" s="21" t="str">
        <x:v>World Model</x:v>
      </x:c>
      <x:c r="D492" s="17" t="str">
        <x:v>World Models / Predictive Intelligence</x:v>
      </x:c>
      <x:c r="E492" s="17" t="str">
        <x:v>World Models / JEPA / Spatial Intelligence</x:v>
      </x:c>
      <x:c r="F492" s="22" t="str">
        <x:v>English</x:v>
      </x:c>
      <x:c r="G492" s="17" t="str">
        <x:v>Yann LeCun: World Models: Enabling the next AI revolution</x:v>
      </x:c>
      <x:c r="H492" s="17" t="str">
        <x:v>Yann LeCun</x:v>
      </x:c>
      <x:c r="I492" s="17" t="str">
        <x:v>Computer Vision and Geometry Group, ETH Zurich</x:v>
      </x:c>
      <x:c r="J492" s="22" t="str">
        <x:v>Academic Talk / Research Seminar</x:v>
      </x:c>
      <x:c r="K492" s="23" t="n">
        <x:v>59</x:v>
      </x:c>
      <x:c r="L492" s="16" t="str">
        <x:v>https://www.youtube.com/watch?v=72Xj8k5WQX4</x:v>
      </x:c>
      <x:c r="M492" s="21" t="str">
        <x:v>YouTube</x:v>
      </x:c>
      <x:c r="N492" s="24" t="n">
        <x:v>211965</x:v>
      </x:c>
      <x:c r="O492" s="22" t="str">
        <x:v>B | University / Conference / Institution</x:v>
      </x:c>
      <x:c r="P492" s="22" t="str">
        <x:v>Recommended</x:v>
      </x:c>
      <x:c r="Q492" s="22" t="str">
        <x:v>Verified</x:v>
      </x:c>
      <x:c r="R492" s="25" t="n">
        <x:v>46246</x:v>
      </x:c>
      <x:c r="S492" s="17" t="str">
        <x:v>Curated in the targeted ScholarTube expansion; public metadata accessible and editorially reviewed.</x:v>
      </x:c>
      <x:c r="T492" s="16" t="str">
        <x:v>72Xj8k5WQX4</x:v>
      </x:c>
    </x:row>
    <x:row r="493" ht="42" customHeight="1">
      <x:c r="A493" s="21" t="str">
        <x:v>ST-492</x:v>
      </x:c>
      <x:c r="B493" s="21" t="str">
        <x:v>Talk</x:v>
      </x:c>
      <x:c r="C493" s="21" t="str">
        <x:v>World Model</x:v>
      </x:c>
      <x:c r="D493" s="17" t="str">
        <x:v>World Models / Predictive Intelligence</x:v>
      </x:c>
      <x:c r="E493" s="17" t="str">
        <x:v>World Models / JEPA / Spatial Intelligence</x:v>
      </x:c>
      <x:c r="F493" s="22" t="str">
        <x:v>English</x:v>
      </x:c>
      <x:c r="G493" s="17" t="str">
        <x:v>Yann LeCun | Self-Supervised Learning, JEPA, World Models, and the future of AI</x:v>
      </x:c>
      <x:c r="H493" s="17" t="str">
        <x:v>Yann LeCun</x:v>
      </x:c>
      <x:c r="I493" s="17" t="str">
        <x:v>Harvard CMSA</x:v>
      </x:c>
      <x:c r="J493" s="22" t="str">
        <x:v>Academic Talk / Research Seminar</x:v>
      </x:c>
      <x:c r="K493" s="23" t="n">
        <x:v>69</x:v>
      </x:c>
      <x:c r="L493" s="16" t="str">
        <x:v>https://www.youtube.com/watch?v=yUmDRxV0krg</x:v>
      </x:c>
      <x:c r="M493" s="21" t="str">
        <x:v>YouTube</x:v>
      </x:c>
      <x:c r="N493" s="24" t="n">
        <x:v>135275</x:v>
      </x:c>
      <x:c r="O493" s="22" t="str">
        <x:v>B | University / Conference / Institution</x:v>
      </x:c>
      <x:c r="P493" s="22" t="str">
        <x:v>Recommended</x:v>
      </x:c>
      <x:c r="Q493" s="22" t="str">
        <x:v>Verified</x:v>
      </x:c>
      <x:c r="R493" s="25" t="n">
        <x:v>46246</x:v>
      </x:c>
      <x:c r="S493" s="17" t="str">
        <x:v>Curated in the targeted ScholarTube expansion; public metadata accessible and editorially reviewed.</x:v>
      </x:c>
      <x:c r="T493" s="16" t="str">
        <x:v>yUmDRxV0krg</x:v>
      </x:c>
    </x:row>
    <x:row r="494" ht="42" customHeight="1">
      <x:c r="A494" s="21" t="str">
        <x:v>ST-493</x:v>
      </x:c>
      <x:c r="B494" s="21" t="str">
        <x:v>Talk</x:v>
      </x:c>
      <x:c r="C494" s="21" t="str">
        <x:v>World Model</x:v>
      </x:c>
      <x:c r="D494" s="17" t="str">
        <x:v>World Models / Predictive Intelligence</x:v>
      </x:c>
      <x:c r="E494" s="17" t="str">
        <x:v>World Models / JEPA / Spatial Intelligence</x:v>
      </x:c>
      <x:c r="F494" s="22" t="str">
        <x:v>English</x:v>
      </x:c>
      <x:c r="G494" s="17" t="str">
        <x:v>Learning Compositional Models of the World with Yilun Du</x:v>
      </x:c>
      <x:c r="H494" s="17" t="str">
        <x:v>Yilun Du</x:v>
      </x:c>
      <x:c r="I494" s="17" t="str">
        <x:v>Kempner Institute at Harvard University</x:v>
      </x:c>
      <x:c r="J494" s="22" t="str">
        <x:v>Academic Talk / Research Seminar</x:v>
      </x:c>
      <x:c r="K494" s="23" t="n">
        <x:v>39</x:v>
      </x:c>
      <x:c r="L494" s="16" t="str">
        <x:v>https://www.youtube.com/watch?v=UKbLBOuHQ-0</x:v>
      </x:c>
      <x:c r="M494" s="21" t="str">
        <x:v>YouTube</x:v>
      </x:c>
      <x:c r="N494" s="24" t="n">
        <x:v>3323</x:v>
      </x:c>
      <x:c r="O494" s="22" t="str">
        <x:v>A | Official / Original Creator / Organizer</x:v>
      </x:c>
      <x:c r="P494" s="22" t="str">
        <x:v>Core</x:v>
      </x:c>
      <x:c r="Q494" s="22" t="str">
        <x:v>Verified</x:v>
      </x:c>
      <x:c r="R494" s="25" t="n">
        <x:v>46246</x:v>
      </x:c>
      <x:c r="S494" s="17" t="str">
        <x:v>Curated in the targeted ScholarTube expansion; official institution, conference, lab, course, or creator source.</x:v>
      </x:c>
      <x:c r="T494" s="16" t="str">
        <x:v>UKbLBOuHQ-0</x:v>
      </x:c>
    </x:row>
    <x:row r="495" ht="42" customHeight="1">
      <x:c r="A495" s="21" t="str">
        <x:v>ST-494</x:v>
      </x:c>
      <x:c r="B495" s="21" t="str">
        <x:v>Talk</x:v>
      </x:c>
      <x:c r="C495" s="21" t="str">
        <x:v>World Model</x:v>
      </x:c>
      <x:c r="D495" s="17" t="str">
        <x:v>World Models / Predictive Intelligence</x:v>
      </x:c>
      <x:c r="E495" s="17" t="str">
        <x:v>World Models / JEPA / Spatial Intelligence</x:v>
      </x:c>
      <x:c r="F495" s="22" t="str">
        <x:v>English</x:v>
      </x:c>
      <x:c r="G495" s="17" t="str">
        <x:v>Yilun Du: Embodied Decision Making with Compositional World Models | CVPR25 Robotics 101</x:v>
      </x:c>
      <x:c r="H495" s="17" t="str">
        <x:v>Yilun Du</x:v>
      </x:c>
      <x:c r="I495" s="17" t="str">
        <x:v>OpenDriveLab</x:v>
      </x:c>
      <x:c r="J495" s="22" t="str">
        <x:v>Academic Talk / Research Seminar</x:v>
      </x:c>
      <x:c r="K495" s="23" t="n">
        <x:v>57</x:v>
      </x:c>
      <x:c r="L495" s="16" t="str">
        <x:v>https://www.youtube.com/watch?v=UNnbkyt8vLA</x:v>
      </x:c>
      <x:c r="M495" s="21" t="str">
        <x:v>YouTube</x:v>
      </x:c>
      <x:c r="N495" s="24" t="n">
        <x:v>803</x:v>
      </x:c>
      <x:c r="O495" s="22" t="str">
        <x:v>B | University / Conference / Institution</x:v>
      </x:c>
      <x:c r="P495" s="22" t="str">
        <x:v>Recommended</x:v>
      </x:c>
      <x:c r="Q495" s="22" t="str">
        <x:v>Verified</x:v>
      </x:c>
      <x:c r="R495" s="25" t="n">
        <x:v>46246</x:v>
      </x:c>
      <x:c r="S495" s="17" t="str">
        <x:v>Curated in the targeted ScholarTube expansion; public metadata accessible and editorially reviewed.</x:v>
      </x:c>
      <x:c r="T495" s="16" t="str">
        <x:v>UNnbkyt8vLA</x:v>
      </x:c>
    </x:row>
    <x:row r="496" ht="42" customHeight="1">
      <x:c r="A496" s="21" t="str">
        <x:v>ST-495</x:v>
      </x:c>
      <x:c r="B496" s="21" t="str">
        <x:v>Talk</x:v>
      </x:c>
      <x:c r="C496" s="21" t="str">
        <x:v>World Model</x:v>
      </x:c>
      <x:c r="D496" s="17" t="str">
        <x:v>World Models / Predictive Intelligence</x:v>
      </x:c>
      <x:c r="E496" s="17" t="str">
        <x:v>World Models / JEPA / Spatial Intelligence</x:v>
      </x:c>
      <x:c r="F496" s="22" t="str">
        <x:v>English</x:v>
      </x:c>
      <x:c r="G496" s="17" t="str">
        <x:v>Unsupervised Intelligent Agents</x:v>
      </x:c>
      <x:c r="H496" s="17" t="str">
        <x:v>Danijar Hafner</x:v>
      </x:c>
      <x:c r="I496" s="17" t="str">
        <x:v>Danijar Hafner</x:v>
      </x:c>
      <x:c r="J496" s="22" t="str">
        <x:v>Academic Talk / Research Seminar</x:v>
      </x:c>
      <x:c r="K496" s="23" t="n">
        <x:v>20</x:v>
      </x:c>
      <x:c r="L496" s="16" t="str">
        <x:v>https://www.youtube.com/watch?v=Amow6WIacKY</x:v>
      </x:c>
      <x:c r="M496" s="21" t="str">
        <x:v>YouTube</x:v>
      </x:c>
      <x:c r="N496" s="24" t="n">
        <x:v>3312</x:v>
      </x:c>
      <x:c r="O496" s="22" t="str">
        <x:v>B | University / Conference / Institution</x:v>
      </x:c>
      <x:c r="P496" s="22" t="str">
        <x:v>Recommended</x:v>
      </x:c>
      <x:c r="Q496" s="22" t="str">
        <x:v>Verified</x:v>
      </x:c>
      <x:c r="R496" s="25" t="n">
        <x:v>46246</x:v>
      </x:c>
      <x:c r="S496" s="17" t="str">
        <x:v>Curated in the targeted ScholarTube expansion; public metadata accessible and editorially reviewed.</x:v>
      </x:c>
      <x:c r="T496" s="16" t="str">
        <x:v>Amow6WIacKY</x:v>
      </x:c>
    </x:row>
    <x:row r="497" ht="42" customHeight="1">
      <x:c r="A497" s="21" t="str">
        <x:v>ST-496</x:v>
      </x:c>
      <x:c r="B497" s="21" t="str">
        <x:v>Talk</x:v>
      </x:c>
      <x:c r="C497" s="21" t="str">
        <x:v>World Model</x:v>
      </x:c>
      <x:c r="D497" s="17" t="str">
        <x:v>World Models / Predictive Intelligence</x:v>
      </x:c>
      <x:c r="E497" s="17" t="str">
        <x:v>World Models / JEPA / Spatial Intelligence</x:v>
      </x:c>
      <x:c r="F497" s="22" t="str">
        <x:v>English</x:v>
      </x:c>
      <x:c r="G497" s="17" t="str">
        <x:v>Danijar Hafner – General Infomax Agents through World Models – PRL 2021</x:v>
      </x:c>
      <x:c r="H497" s="17" t="str">
        <x:v>Danijar Hafner</x:v>
      </x:c>
      <x:c r="I497" s="17" t="str">
        <x:v>PRL Workshop – Planning and Reinforcement Learning</x:v>
      </x:c>
      <x:c r="J497" s="22" t="str">
        <x:v>Academic Talk / Research Seminar</x:v>
      </x:c>
      <x:c r="K497" s="23" t="n">
        <x:v>31</x:v>
      </x:c>
      <x:c r="L497" s="16" t="str">
        <x:v>https://www.youtube.com/watch?v=mrcGNhXGxgc</x:v>
      </x:c>
      <x:c r="M497" s="21" t="str">
        <x:v>YouTube</x:v>
      </x:c>
      <x:c r="N497" s="24" t="n">
        <x:v>597</x:v>
      </x:c>
      <x:c r="O497" s="22" t="str">
        <x:v>A | Official / Original Creator / Organizer</x:v>
      </x:c>
      <x:c r="P497" s="22" t="str">
        <x:v>Core</x:v>
      </x:c>
      <x:c r="Q497" s="22" t="str">
        <x:v>Verified</x:v>
      </x:c>
      <x:c r="R497" s="25" t="n">
        <x:v>46246</x:v>
      </x:c>
      <x:c r="S497" s="17" t="str">
        <x:v>Curated in the targeted ScholarTube expansion; official institution, conference, lab, course, or creator source.</x:v>
      </x:c>
      <x:c r="T497" s="16" t="str">
        <x:v>mrcGNhXGxgc</x:v>
      </x:c>
    </x:row>
    <x:row r="498" ht="42" customHeight="1">
      <x:c r="A498" s="21" t="str">
        <x:v>ST-497</x:v>
      </x:c>
      <x:c r="B498" s="21" t="str">
        <x:v>Talk</x:v>
      </x:c>
      <x:c r="C498" s="21" t="str">
        <x:v>World Model</x:v>
      </x:c>
      <x:c r="D498" s="17" t="str">
        <x:v>World Models / Predictive Intelligence</x:v>
      </x:c>
      <x:c r="E498" s="17" t="str">
        <x:v>World Models / JEPA / Spatial Intelligence</x:v>
      </x:c>
      <x:c r="F498" s="22" t="str">
        <x:v>English</x:v>
      </x:c>
      <x:c r="G498" s="17" t="str">
        <x:v>Fei-Fei Li: Spatial Intelligence is the Next Frontier in AI</x:v>
      </x:c>
      <x:c r="H498" s="17" t="str">
        <x:v>Fei-Fei Li</x:v>
      </x:c>
      <x:c r="I498" s="17" t="str">
        <x:v>Y Combinator</x:v>
      </x:c>
      <x:c r="J498" s="22" t="str">
        <x:v>Academic Talk / Research Seminar</x:v>
      </x:c>
      <x:c r="K498" s="23" t="n">
        <x:v>44</x:v>
      </x:c>
      <x:c r="L498" s="16" t="str">
        <x:v>https://www.youtube.com/watch?v=_PioN-CpOP0</x:v>
      </x:c>
      <x:c r="M498" s="21" t="str">
        <x:v>YouTube</x:v>
      </x:c>
      <x:c r="N498" s="24" t="n">
        <x:v>202539</x:v>
      </x:c>
      <x:c r="O498" s="22" t="str">
        <x:v>B | University / Conference / Institution</x:v>
      </x:c>
      <x:c r="P498" s="22" t="str">
        <x:v>Recommended</x:v>
      </x:c>
      <x:c r="Q498" s="22" t="str">
        <x:v>Verified</x:v>
      </x:c>
      <x:c r="R498" s="25" t="n">
        <x:v>46246</x:v>
      </x:c>
      <x:c r="S498" s="17" t="str">
        <x:v>Curated in the targeted ScholarTube expansion; public metadata accessible and editorially reviewed.</x:v>
      </x:c>
      <x:c r="T498" s="16" t="str">
        <x:v>_PioN-CpOP0</x:v>
      </x:c>
    </x:row>
    <x:row r="499" ht="42" customHeight="1">
      <x:c r="A499" s="21" t="str">
        <x:v>ST-498</x:v>
      </x:c>
      <x:c r="B499" s="21" t="str">
        <x:v>Interview</x:v>
      </x:c>
      <x:c r="C499" s="21" t="str">
        <x:v>World Model</x:v>
      </x:c>
      <x:c r="D499" s="17" t="str">
        <x:v>World Models / Predictive Intelligence</x:v>
      </x:c>
      <x:c r="E499" s="17" t="str">
        <x:v>World Models / JEPA / Spatial Intelligence</x:v>
      </x:c>
      <x:c r="F499" s="22" t="str">
        <x:v>English</x:v>
      </x:c>
      <x:c r="G499" s="17" t="str">
        <x:v>The Godmother of AI on jobs, robots &amp; why world models are next | Dr. Fei-Fei Li</x:v>
      </x:c>
      <x:c r="H499" s="17" t="str">
        <x:v>Fei-Fei Li</x:v>
      </x:c>
      <x:c r="I499" s="17" t="str">
        <x:v>Lenny's Podcast</x:v>
      </x:c>
      <x:c r="J499" s="22" t="str">
        <x:v>Research Interview</x:v>
      </x:c>
      <x:c r="K499" s="23" t="n">
        <x:v>80</x:v>
      </x:c>
      <x:c r="L499" s="16" t="str">
        <x:v>https://www.youtube.com/watch?v=Ctjiatnd6Xk</x:v>
      </x:c>
      <x:c r="M499" s="21" t="str">
        <x:v>YouTube</x:v>
      </x:c>
      <x:c r="N499" s="24" t="n">
        <x:v>161762</x:v>
      </x:c>
      <x:c r="O499" s="22" t="str">
        <x:v>B | University / Conference / Institution</x:v>
      </x:c>
      <x:c r="P499" s="22" t="str">
        <x:v>Recommended</x:v>
      </x:c>
      <x:c r="Q499" s="22" t="str">
        <x:v>Verified</x:v>
      </x:c>
      <x:c r="R499" s="25" t="n">
        <x:v>46246</x:v>
      </x:c>
      <x:c r="S499" s="17" t="str">
        <x:v>Curated in the targeted ScholarTube expansion; public metadata accessible and editorially reviewed.</x:v>
      </x:c>
      <x:c r="T499" s="16" t="str">
        <x:v>Ctjiatnd6Xk</x:v>
      </x:c>
    </x:row>
    <x:row r="500" ht="42" customHeight="1">
      <x:c r="A500" s="21" t="str">
        <x:v>ST-499</x:v>
      </x:c>
      <x:c r="B500" s="21" t="str">
        <x:v>Interview</x:v>
      </x:c>
      <x:c r="C500" s="21" t="str">
        <x:v>World Model</x:v>
      </x:c>
      <x:c r="D500" s="17" t="str">
        <x:v>World Models / Predictive Intelligence</x:v>
      </x:c>
      <x:c r="E500" s="17" t="str">
        <x:v>World Models / JEPA / Spatial Intelligence</x:v>
      </x:c>
      <x:c r="F500" s="22" t="str">
        <x:v>English</x:v>
      </x:c>
      <x:c r="G500" s="17" t="str">
        <x:v>Research Retrospectives: An interview with David Ha, Co-founder and CEO of Sakana AI</x:v>
      </x:c>
      <x:c r="H500" s="17" t="str">
        <x:v>David Ha</x:v>
      </x:c>
      <x:c r="I500" s="17" t="str">
        <x:v>Google Research</x:v>
      </x:c>
      <x:c r="J500" s="22" t="str">
        <x:v>Research Interview</x:v>
      </x:c>
      <x:c r="K500" s="23" t="n">
        <x:v>56</x:v>
      </x:c>
      <x:c r="L500" s="16" t="str">
        <x:v>https://www.youtube.com/watch?v=3wH8SH5BxjY</x:v>
      </x:c>
      <x:c r="M500" s="21" t="str">
        <x:v>YouTube</x:v>
      </x:c>
      <x:c r="N500" s="24" t="n">
        <x:v>2875</x:v>
      </x:c>
      <x:c r="O500" s="22" t="str">
        <x:v>A | Official / Original Creator / Organizer</x:v>
      </x:c>
      <x:c r="P500" s="22" t="str">
        <x:v>Core</x:v>
      </x:c>
      <x:c r="Q500" s="22" t="str">
        <x:v>Verified</x:v>
      </x:c>
      <x:c r="R500" s="25" t="n">
        <x:v>46246</x:v>
      </x:c>
      <x:c r="S500" s="17" t="str">
        <x:v>Curated in the targeted ScholarTube expansion; official institution, conference, lab, course, or creator source.</x:v>
      </x:c>
      <x:c r="T500" s="16" t="str">
        <x:v>3wH8SH5BxjY</x:v>
      </x:c>
    </x:row>
    <x:row r="501" ht="42" customHeight="1">
      <x:c r="A501" s="21" t="str">
        <x:v>ST-500</x:v>
      </x:c>
      <x:c r="B501" s="21" t="str">
        <x:v>Course</x:v>
      </x:c>
      <x:c r="C501" s="21" t="str">
        <x:v>Robotics</x:v>
      </x:c>
      <x:c r="D501" s="17" t="str">
        <x:v>Robotics / Embodied AI</x:v>
      </x:c>
      <x:c r="E501" s="17" t="str">
        <x:v>Robot Learning / Embodied AI / Control</x:v>
      </x:c>
      <x:c r="F501" s="22" t="str">
        <x:v>English</x:v>
      </x:c>
      <x:c r="G501" s="17" t="str">
        <x:v>LLM Agents MOOC | UC Berkeley Fall 2024 | Project GR00T Generalist Robotics Blueprint by Jim Fan</x:v>
      </x:c>
      <x:c r="H501" s="17" t="str">
        <x:v>Jim Fan</x:v>
      </x:c>
      <x:c r="I501" s="17" t="str">
        <x:v>Berkeley RDI</x:v>
      </x:c>
      <x:c r="J501" s="22" t="str">
        <x:v>Course / Tutorial</x:v>
      </x:c>
      <x:c r="K501" s="23" t="n">
        <x:v>56</x:v>
      </x:c>
      <x:c r="L501" s="16" t="str">
        <x:v>https://www.youtube.com/watch?v=Qhxr0uVT2zs</x:v>
      </x:c>
      <x:c r="M501" s="21" t="str">
        <x:v>YouTube</x:v>
      </x:c>
      <x:c r="N501" s="24" t="n">
        <x:v>11707</x:v>
      </x:c>
      <x:c r="O501" s="22" t="str">
        <x:v>A | Official / Original Creator / Organizer</x:v>
      </x:c>
      <x:c r="P501" s="22" t="str">
        <x:v>Core</x:v>
      </x:c>
      <x:c r="Q501" s="22" t="str">
        <x:v>Verified</x:v>
      </x:c>
      <x:c r="R501" s="25" t="n">
        <x:v>46246</x:v>
      </x:c>
      <x:c r="S501" s="17" t="str">
        <x:v>Curated in the targeted ScholarTube expansion; official institution, conference, lab, course, or creator source.</x:v>
      </x:c>
      <x:c r="T501" s="16" t="str">
        <x:v>Qhxr0uVT2zs</x:v>
      </x:c>
    </x:row>
    <x:row r="502" ht="42" customHeight="1">
      <x:c r="A502" s="21" t="str">
        <x:v>ST-501</x:v>
      </x:c>
      <x:c r="B502" s="21" t="str">
        <x:v>Course</x:v>
      </x:c>
      <x:c r="C502" s="21" t="str">
        <x:v>Agent</x:v>
      </x:c>
      <x:c r="D502" s="17" t="str">
        <x:v>Agents / Tool Use / Reasoning</x:v>
      </x:c>
      <x:c r="E502" s="17" t="str">
        <x:v>Agents / Reasoning / Tool Use</x:v>
      </x:c>
      <x:c r="F502" s="22" t="str">
        <x:v>English</x:v>
      </x:c>
      <x:c r="G502" s="17" t="str">
        <x:v>LLM Agents MOOC | UC Berkeley CS294-196 Fall 2024 | LLM Agents: History &amp; Overview by Shunyu Yao</x:v>
      </x:c>
      <x:c r="H502" s="17" t="str">
        <x:v>Shunyu Yao</x:v>
      </x:c>
      <x:c r="I502" s="17" t="str">
        <x:v>Berkeley RDI</x:v>
      </x:c>
      <x:c r="J502" s="22" t="str">
        <x:v>Course / Tutorial</x:v>
      </x:c>
      <x:c r="K502" s="23" t="n">
        <x:v>69</x:v>
      </x:c>
      <x:c r="L502" s="16" t="str">
        <x:v>https://www.youtube.com/watch?v=RM6ZArd2nVc</x:v>
      </x:c>
      <x:c r="M502" s="21" t="str">
        <x:v>YouTube</x:v>
      </x:c>
      <x:c r="N502" s="24" t="n">
        <x:v>55331</x:v>
      </x:c>
      <x:c r="O502" s="22" t="str">
        <x:v>A | Official / Original Creator / Organizer</x:v>
      </x:c>
      <x:c r="P502" s="22" t="str">
        <x:v>Core</x:v>
      </x:c>
      <x:c r="Q502" s="22" t="str">
        <x:v>Verified</x:v>
      </x:c>
      <x:c r="R502" s="25" t="n">
        <x:v>46246</x:v>
      </x:c>
      <x:c r="S502" s="17" t="str">
        <x:v>Curated in the targeted ScholarTube expansion; official institution, conference, lab, course, or creator source.</x:v>
      </x:c>
      <x:c r="T502" s="16" t="str">
        <x:v>RM6ZArd2nVc</x:v>
      </x:c>
    </x:row>
    <x:row r="503" ht="42" customHeight="1">
      <x:c r="A503" s="21" t="str">
        <x:v>ST-502</x:v>
      </x:c>
      <x:c r="B503" s="21" t="str">
        <x:v>Talk</x:v>
      </x:c>
      <x:c r="C503" s="21" t="str">
        <x:v>Agent</x:v>
      </x:c>
      <x:c r="D503" s="17" t="str">
        <x:v>Agents / Tool Use / Reasoning</x:v>
      </x:c>
      <x:c r="E503" s="17" t="str">
        <x:v>Agents / Reasoning / Tool Use</x:v>
      </x:c>
      <x:c r="F503" s="22" t="str">
        <x:v>English</x:v>
      </x:c>
      <x:c r="G503" s="17" t="str">
        <x:v>Language Agents (Shunyu Yao PhD Defense)</x:v>
      </x:c>
      <x:c r="H503" s="17" t="str">
        <x:v>Shunyu Yao</x:v>
      </x:c>
      <x:c r="I503" s="17" t="str">
        <x:v>Shunyu Yao</x:v>
      </x:c>
      <x:c r="J503" s="22" t="str">
        <x:v>Academic Talk / Research Seminar</x:v>
      </x:c>
      <x:c r="K503" s="23" t="n">
        <x:v>85</x:v>
      </x:c>
      <x:c r="L503" s="16" t="str">
        <x:v>https://www.youtube.com/watch?v=zwfE6J2BIR4</x:v>
      </x:c>
      <x:c r="M503" s="21" t="str">
        <x:v>YouTube</x:v>
      </x:c>
      <x:c r="N503" s="24" t="n">
        <x:v>14100</x:v>
      </x:c>
      <x:c r="O503" s="22" t="str">
        <x:v>B | University / Conference / Institution</x:v>
      </x:c>
      <x:c r="P503" s="22" t="str">
        <x:v>Recommended</x:v>
      </x:c>
      <x:c r="Q503" s="22" t="str">
        <x:v>Verified</x:v>
      </x:c>
      <x:c r="R503" s="25" t="n">
        <x:v>46246</x:v>
      </x:c>
      <x:c r="S503" s="17" t="str">
        <x:v>Curated in the targeted ScholarTube expansion; public metadata accessible and editorially reviewed.</x:v>
      </x:c>
      <x:c r="T503" s="16" t="str">
        <x:v>zwfE6J2BIR4</x:v>
      </x:c>
    </x:row>
    <x:row r="504" ht="42" customHeight="1">
      <x:c r="A504" s="21" t="str">
        <x:v>ST-503</x:v>
      </x:c>
      <x:c r="B504" s="21" t="str">
        <x:v>Course</x:v>
      </x:c>
      <x:c r="C504" s="21" t="str">
        <x:v>Agent</x:v>
      </x:c>
      <x:c r="D504" s="17" t="str">
        <x:v>Agents / Tool Use / Reasoning</x:v>
      </x:c>
      <x:c r="E504" s="17" t="str">
        <x:v>Agents / Reasoning / Tool Use</x:v>
      </x:c>
      <x:c r="F504" s="22" t="str">
        <x:v>English</x:v>
      </x:c>
      <x:c r="G504" s="17" t="str">
        <x:v>LLM Agents MOOC | UC Berkeley CS294-196 Fa24 | Agentic AI Frameworks/AutoGen &amp; Multimodal Assistant</x:v>
      </x:c>
      <x:c r="H504" s="17" t="str">
        <x:v>Chi Wang</x:v>
      </x:c>
      <x:c r="I504" s="17" t="str">
        <x:v>Berkeley RDI</x:v>
      </x:c>
      <x:c r="J504" s="22" t="str">
        <x:v>Course / Tutorial</x:v>
      </x:c>
      <x:c r="K504" s="23" t="n">
        <x:v>65</x:v>
      </x:c>
      <x:c r="L504" s="16" t="str">
        <x:v>https://www.youtube.com/watch?v=OOdtmCMSOo4</x:v>
      </x:c>
      <x:c r="M504" s="21" t="str">
        <x:v>YouTube</x:v>
      </x:c>
      <x:c r="N504" s="24" t="n">
        <x:v>33869</x:v>
      </x:c>
      <x:c r="O504" s="22" t="str">
        <x:v>A | Official / Original Creator / Organizer</x:v>
      </x:c>
      <x:c r="P504" s="22" t="str">
        <x:v>Core</x:v>
      </x:c>
      <x:c r="Q504" s="22" t="str">
        <x:v>Verified</x:v>
      </x:c>
      <x:c r="R504" s="25" t="n">
        <x:v>46246</x:v>
      </x:c>
      <x:c r="S504" s="17" t="str">
        <x:v>Curated in the targeted ScholarTube expansion; official institution, conference, lab, course, or creator source.</x:v>
      </x:c>
      <x:c r="T504" s="16" t="str">
        <x:v>OOdtmCMSOo4</x:v>
      </x:c>
    </x:row>
    <x:row r="505" ht="42" customHeight="1">
      <x:c r="A505" s="21" t="str">
        <x:v>ST-504</x:v>
      </x:c>
      <x:c r="B505" s="21" t="str">
        <x:v>Course</x:v>
      </x:c>
      <x:c r="C505" s="21" t="str">
        <x:v>Agent</x:v>
      </x:c>
      <x:c r="D505" s="17" t="str">
        <x:v>Agents / Tool Use / Reasoning</x:v>
      </x:c>
      <x:c r="E505" s="17" t="str">
        <x:v>Agents / Reasoning / Tool Use</x:v>
      </x:c>
      <x:c r="F505" s="22" t="str">
        <x:v>English</x:v>
      </x:c>
      <x:c r="G505" s="17" t="str">
        <x:v>LLM Agents MOOC | UC Berkeley CS294-196 Fall 2024 | Agents for Software Development by Graham Neubig</x:v>
      </x:c>
      <x:c r="H505" s="17" t="str">
        <x:v>Graham Neubig</x:v>
      </x:c>
      <x:c r="I505" s="17" t="str">
        <x:v>Berkeley RDI</x:v>
      </x:c>
      <x:c r="J505" s="22" t="str">
        <x:v>Course / Tutorial</x:v>
      </x:c>
      <x:c r="K505" s="23" t="n">
        <x:v>61</x:v>
      </x:c>
      <x:c r="L505" s="16" t="str">
        <x:v>https://www.youtube.com/watch?v=f9L9Fkq-8K4</x:v>
      </x:c>
      <x:c r="M505" s="21" t="str">
        <x:v>YouTube</x:v>
      </x:c>
      <x:c r="N505" s="24" t="n">
        <x:v>17464</x:v>
      </x:c>
      <x:c r="O505" s="22" t="str">
        <x:v>A | Official / Original Creator / Organizer</x:v>
      </x:c>
      <x:c r="P505" s="22" t="str">
        <x:v>Core</x:v>
      </x:c>
      <x:c r="Q505" s="22" t="str">
        <x:v>Verified</x:v>
      </x:c>
      <x:c r="R505" s="25" t="n">
        <x:v>46246</x:v>
      </x:c>
      <x:c r="S505" s="17" t="str">
        <x:v>Curated in the targeted ScholarTube expansion; official institution, conference, lab, course, or creator source.</x:v>
      </x:c>
      <x:c r="T505" s="16" t="str">
        <x:v>f9L9Fkq-8K4</x:v>
      </x:c>
    </x:row>
    <x:row r="506" ht="42" customHeight="1">
      <x:c r="A506" s="21" t="str">
        <x:v>ST-505</x:v>
      </x:c>
      <x:c r="B506" s="21" t="str">
        <x:v>Course</x:v>
      </x:c>
      <x:c r="C506" s="21" t="str">
        <x:v>Agent</x:v>
      </x:c>
      <x:c r="D506" s="17" t="str">
        <x:v>Agents / Tool Use / Reasoning</x:v>
      </x:c>
      <x:c r="E506" s="17" t="str">
        <x:v>Agents / Reasoning / Tool Use</x:v>
      </x:c>
      <x:c r="F506" s="22" t="str">
        <x:v>English</x:v>
      </x:c>
      <x:c r="G506" s="17" t="str">
        <x:v>CMU Advanced NLP Fall 2024 (15): Tool Use and LLM Agent Basics</x:v>
      </x:c>
      <x:c r="H506" s="17" t="str">
        <x:v>Graham Neubig</x:v>
      </x:c>
      <x:c r="I506" s="17" t="str">
        <x:v>Graham Neubig</x:v>
      </x:c>
      <x:c r="J506" s="22" t="str">
        <x:v>Course / Tutorial</x:v>
      </x:c>
      <x:c r="K506" s="23" t="n">
        <x:v>70</x:v>
      </x:c>
      <x:c r="L506" s="16" t="str">
        <x:v>https://www.youtube.com/watch?v=a3SjRsqV9ZA</x:v>
      </x:c>
      <x:c r="M506" s="21" t="str">
        <x:v>YouTube</x:v>
      </x:c>
      <x:c r="N506" s="24" t="n">
        <x:v>4126</x:v>
      </x:c>
      <x:c r="O506" s="22" t="str">
        <x:v>A | Official / Original Creator / Organizer</x:v>
      </x:c>
      <x:c r="P506" s="22" t="str">
        <x:v>Core</x:v>
      </x:c>
      <x:c r="Q506" s="22" t="str">
        <x:v>Verified</x:v>
      </x:c>
      <x:c r="R506" s="25" t="n">
        <x:v>46246</x:v>
      </x:c>
      <x:c r="S506" s="17" t="str">
        <x:v>Curated in the targeted ScholarTube expansion; official institution, conference, lab, course, or creator source.</x:v>
      </x:c>
      <x:c r="T506" s="16" t="str">
        <x:v>a3SjRsqV9ZA</x:v>
      </x:c>
    </x:row>
    <x:row r="507" ht="42" customHeight="1">
      <x:c r="A507" s="21" t="str">
        <x:v>ST-506</x:v>
      </x:c>
      <x:c r="B507" s="21" t="str">
        <x:v>Course</x:v>
      </x:c>
      <x:c r="C507" s="21" t="str">
        <x:v>Agent</x:v>
      </x:c>
      <x:c r="D507" s="17" t="str">
        <x:v>Agents / Tool Use / Reasoning</x:v>
      </x:c>
      <x:c r="E507" s="17" t="str">
        <x:v>Agents / Reasoning / Tool Use</x:v>
      </x:c>
      <x:c r="F507" s="22" t="str">
        <x:v>English</x:v>
      </x:c>
      <x:c r="G507" s="17" t="str">
        <x:v>Harrison Chase - Agents Masterclass from LangChain Founder (LLM Bootcamp)</x:v>
      </x:c>
      <x:c r="H507" s="17" t="str">
        <x:v>Harrison Chase</x:v>
      </x:c>
      <x:c r="I507" s="17" t="str">
        <x:v>The Full Stack</x:v>
      </x:c>
      <x:c r="J507" s="22" t="str">
        <x:v>Course / Tutorial</x:v>
      </x:c>
      <x:c r="K507" s="23" t="n">
        <x:v>26</x:v>
      </x:c>
      <x:c r="L507" s="16" t="str">
        <x:v>https://www.youtube.com/watch?v=DWUdGhRrv2c</x:v>
      </x:c>
      <x:c r="M507" s="21" t="str">
        <x:v>YouTube</x:v>
      </x:c>
      <x:c r="N507" s="24" t="n">
        <x:v>48611</x:v>
      </x:c>
      <x:c r="O507" s="22" t="str">
        <x:v>B | University / Conference / Institution</x:v>
      </x:c>
      <x:c r="P507" s="22" t="str">
        <x:v>Recommended</x:v>
      </x:c>
      <x:c r="Q507" s="22" t="str">
        <x:v>Verified</x:v>
      </x:c>
      <x:c r="R507" s="25" t="n">
        <x:v>46246</x:v>
      </x:c>
      <x:c r="S507" s="17" t="str">
        <x:v>Curated in the targeted ScholarTube expansion; public metadata accessible and editorially reviewed.</x:v>
      </x:c>
      <x:c r="T507" s="16" t="str">
        <x:v>DWUdGhRrv2c</x:v>
      </x:c>
    </x:row>
    <x:row r="508" ht="42" customHeight="1">
      <x:c r="A508" s="21" t="str">
        <x:v>ST-507</x:v>
      </x:c>
      <x:c r="B508" s="21" t="str">
        <x:v>Course</x:v>
      </x:c>
      <x:c r="C508" s="21" t="str">
        <x:v>Vision</x:v>
      </x:c>
      <x:c r="D508" s="17" t="str">
        <x:v>Computer Vision / 3D Vision</x:v>
      </x:c>
      <x:c r="E508" s="17" t="str">
        <x:v>Computer Vision / 3D Vision / Representation Learning</x:v>
      </x:c>
      <x:c r="F508" s="22" t="str">
        <x:v>English</x:v>
      </x:c>
      <x:c r="G508" s="17" t="str">
        <x:v>Deep Learning Bootcamp: Kaiming He</x:v>
      </x:c>
      <x:c r="H508" s="17" t="str">
        <x:v>Kaiming He</x:v>
      </x:c>
      <x:c r="I508" s="17" t="str">
        <x:v>MIT Schwarzman College of Computing</x:v>
      </x:c>
      <x:c r="J508" s="22" t="str">
        <x:v>Course / Tutorial</x:v>
      </x:c>
      <x:c r="K508" s="23" t="n">
        <x:v>76</x:v>
      </x:c>
      <x:c r="L508" s="16" t="str">
        <x:v>https://www.youtube.com/watch?v=D_jt-xO_RmI</x:v>
      </x:c>
      <x:c r="M508" s="21" t="str">
        <x:v>YouTube</x:v>
      </x:c>
      <x:c r="N508" s="24" t="n">
        <x:v>71166</x:v>
      </x:c>
      <x:c r="O508" s="22" t="str">
        <x:v>A | Official / Original Creator / Organizer</x:v>
      </x:c>
      <x:c r="P508" s="22" t="str">
        <x:v>Core</x:v>
      </x:c>
      <x:c r="Q508" s="22" t="str">
        <x:v>Verified</x:v>
      </x:c>
      <x:c r="R508" s="25" t="n">
        <x:v>46246</x:v>
      </x:c>
      <x:c r="S508" s="17" t="str">
        <x:v>Curated in the targeted ScholarTube expansion; official institution, conference, lab, course, or creator source.</x:v>
      </x:c>
      <x:c r="T508" s="16" t="str">
        <x:v>D_jt-xO_RmI</x:v>
      </x:c>
    </x:row>
    <x:row r="509" ht="42" customHeight="1">
      <x:c r="A509" s="21" t="str">
        <x:v>ST-508</x:v>
      </x:c>
      <x:c r="B509" s="21" t="str">
        <x:v>Course</x:v>
      </x:c>
      <x:c r="C509" s="21" t="str">
        <x:v>Vision</x:v>
      </x:c>
      <x:c r="D509" s="17" t="str">
        <x:v>Computer Vision / 3D Vision</x:v>
      </x:c>
      <x:c r="E509" s="17" t="str">
        <x:v>Computer Vision / 3D Vision / Representation Learning</x:v>
      </x:c>
      <x:c r="F509" s="22" t="str">
        <x:v>English</x:v>
      </x:c>
      <x:c r="G509" s="17" t="str">
        <x:v>Tutorial: Deep Learning for Objects and Scenes - Part 1</x:v>
      </x:c>
      <x:c r="H509" s="17" t="str">
        <x:v>Kaiming He</x:v>
      </x:c>
      <x:c r="I509" s="17" t="str">
        <x:v>ComputerVisionFoundation Videos</x:v>
      </x:c>
      <x:c r="J509" s="22" t="str">
        <x:v>Course / Tutorial</x:v>
      </x:c>
      <x:c r="K509" s="23" t="n">
        <x:v>91</x:v>
      </x:c>
      <x:c r="L509" s="16" t="str">
        <x:v>https://www.youtube.com/watch?v=jHv37mKAhV4</x:v>
      </x:c>
      <x:c r="M509" s="21" t="str">
        <x:v>YouTube</x:v>
      </x:c>
      <x:c r="N509" s="24" t="n">
        <x:v>28472</x:v>
      </x:c>
      <x:c r="O509" s="22" t="str">
        <x:v>A | Official / Original Creator / Organizer</x:v>
      </x:c>
      <x:c r="P509" s="22" t="str">
        <x:v>Core</x:v>
      </x:c>
      <x:c r="Q509" s="22" t="str">
        <x:v>Verified</x:v>
      </x:c>
      <x:c r="R509" s="25" t="n">
        <x:v>46246</x:v>
      </x:c>
      <x:c r="S509" s="17" t="str">
        <x:v>Curated in the targeted ScholarTube expansion; official institution, conference, lab, course, or creator source.</x:v>
      </x:c>
      <x:c r="T509" s="16" t="str">
        <x:v>jHv37mKAhV4</x:v>
      </x:c>
    </x:row>
    <x:row r="510" ht="42" customHeight="1">
      <x:c r="A510" s="21" t="str">
        <x:v>ST-509</x:v>
      </x:c>
      <x:c r="B510" s="21" t="str">
        <x:v>Talk</x:v>
      </x:c>
      <x:c r="C510" s="21" t="str">
        <x:v>Robotics</x:v>
      </x:c>
      <x:c r="D510" s="17" t="str">
        <x:v>Robotics / Embodied AI</x:v>
      </x:c>
      <x:c r="E510" s="17" t="str">
        <x:v>Robot Learning / Embodied AI / Control</x:v>
      </x:c>
      <x:c r="F510" s="22" t="str">
        <x:v>English</x:v>
      </x:c>
      <x:c r="G510" s="17" t="str">
        <x:v>Jitendra Malik: Vision and Robotics for Embodied AI</x:v>
      </x:c>
      <x:c r="H510" s="17" t="str">
        <x:v>Jitendra Malik</x:v>
      </x:c>
      <x:c r="I510" s="17" t="str">
        <x:v>Computer Vision and Geometry Group, ETH Zurich</x:v>
      </x:c>
      <x:c r="J510" s="22" t="str">
        <x:v>Academic Talk / Research Seminar</x:v>
      </x:c>
      <x:c r="K510" s="23" t="n">
        <x:v>51</x:v>
      </x:c>
      <x:c r="L510" s="16" t="str">
        <x:v>https://www.youtube.com/watch?v=HvDU7Vk4pbc</x:v>
      </x:c>
      <x:c r="M510" s="21" t="str">
        <x:v>YouTube</x:v>
      </x:c>
      <x:c r="N510" s="24" t="n">
        <x:v>8237</x:v>
      </x:c>
      <x:c r="O510" s="22" t="str">
        <x:v>B | University / Conference / Institution</x:v>
      </x:c>
      <x:c r="P510" s="22" t="str">
        <x:v>Recommended</x:v>
      </x:c>
      <x:c r="Q510" s="22" t="str">
        <x:v>Verified</x:v>
      </x:c>
      <x:c r="R510" s="25" t="n">
        <x:v>46246</x:v>
      </x:c>
      <x:c r="S510" s="17" t="str">
        <x:v>Curated in the targeted ScholarTube expansion; public metadata accessible and editorially reviewed.</x:v>
      </x:c>
      <x:c r="T510" s="16" t="str">
        <x:v>HvDU7Vk4pbc</x:v>
      </x:c>
    </x:row>
    <x:row r="511" ht="42" customHeight="1">
      <x:c r="A511" s="21" t="str">
        <x:v>ST-510</x:v>
      </x:c>
      <x:c r="B511" s="21" t="str">
        <x:v>Course</x:v>
      </x:c>
      <x:c r="C511" s="21" t="str">
        <x:v>Vision</x:v>
      </x:c>
      <x:c r="D511" s="17" t="str">
        <x:v>Computer Vision / 3D Vision</x:v>
      </x:c>
      <x:c r="E511" s="17" t="str">
        <x:v>Computer Vision / 3D Vision / Representation Learning</x:v>
      </x:c>
      <x:c r="F511" s="22" t="str">
        <x:v>English</x:v>
      </x:c>
      <x:c r="G511" s="17" t="str">
        <x:v>PyTorch3D @ SIGGRAPH ASIA 2020 Course</x:v>
      </x:c>
      <x:c r="H511" s="17" t="str">
        <x:v>Georgia Gkioxari</x:v>
      </x:c>
      <x:c r="I511" s="17" t="str">
        <x:v>Georgia Gkioxari</x:v>
      </x:c>
      <x:c r="J511" s="22" t="str">
        <x:v>Course / Tutorial</x:v>
      </x:c>
      <x:c r="K511" s="23" t="n">
        <x:v>183</x:v>
      </x:c>
      <x:c r="L511" s="16" t="str">
        <x:v>https://www.youtube.com/watch?v=MOBAJb5nJRI</x:v>
      </x:c>
      <x:c r="M511" s="21" t="str">
        <x:v>YouTube</x:v>
      </x:c>
      <x:c r="N511" s="24" t="n">
        <x:v>23945</x:v>
      </x:c>
      <x:c r="O511" s="22" t="str">
        <x:v>B | University / Conference / Institution</x:v>
      </x:c>
      <x:c r="P511" s="22" t="str">
        <x:v>Recommended</x:v>
      </x:c>
      <x:c r="Q511" s="22" t="str">
        <x:v>Verified</x:v>
      </x:c>
      <x:c r="R511" s="25" t="n">
        <x:v>46246</x:v>
      </x:c>
      <x:c r="S511" s="17" t="str">
        <x:v>Curated in the targeted ScholarTube expansion; public metadata accessible and editorially reviewed.</x:v>
      </x:c>
      <x:c r="T511" s="16" t="str">
        <x:v>MOBAJb5nJRI</x:v>
      </x:c>
    </x:row>
    <x:row r="512" ht="42" customHeight="1">
      <x:c r="A512" s="21" t="str">
        <x:v>ST-511</x:v>
      </x:c>
      <x:c r="B512" s="21" t="str">
        <x:v>Talk</x:v>
      </x:c>
      <x:c r="C512" s="21" t="str">
        <x:v>Vision</x:v>
      </x:c>
      <x:c r="D512" s="17" t="str">
        <x:v>Computer Vision / 3D Vision</x:v>
      </x:c>
      <x:c r="E512" s="17" t="str">
        <x:v>Computer Vision / 3D Vision / Representation Learning</x:v>
      </x:c>
      <x:c r="F512" s="22" t="str">
        <x:v>English</x:v>
      </x:c>
      <x:c r="G512" s="17" t="str">
        <x:v>MIT Robotics - Angjoo Kanazawa - Streaming Perception: Towards 4D Video Understanding for Robotics</x:v>
      </x:c>
      <x:c r="H512" s="17" t="str">
        <x:v>Angjoo Kanazawa</x:v>
      </x:c>
      <x:c r="I512" s="17" t="str">
        <x:v>MIT Robotics</x:v>
      </x:c>
      <x:c r="J512" s="22" t="str">
        <x:v>Academic Talk / Research Seminar</x:v>
      </x:c>
      <x:c r="K512" s="23" t="n">
        <x:v>57</x:v>
      </x:c>
      <x:c r="L512" s="16" t="str">
        <x:v>https://www.youtube.com/watch?v=Ap5jFj04p1g</x:v>
      </x:c>
      <x:c r="M512" s="21" t="str">
        <x:v>YouTube</x:v>
      </x:c>
      <x:c r="N512" s="24" t="n">
        <x:v>8125</x:v>
      </x:c>
      <x:c r="O512" s="22" t="str">
        <x:v>A | Official / Original Creator / Organizer</x:v>
      </x:c>
      <x:c r="P512" s="22" t="str">
        <x:v>Core</x:v>
      </x:c>
      <x:c r="Q512" s="22" t="str">
        <x:v>Verified</x:v>
      </x:c>
      <x:c r="R512" s="25" t="n">
        <x:v>46246</x:v>
      </x:c>
      <x:c r="S512" s="17" t="str">
        <x:v>Curated in the targeted ScholarTube expansion; official institution, conference, lab, course, or creator source.</x:v>
      </x:c>
      <x:c r="T512" s="16" t="str">
        <x:v>Ap5jFj04p1g</x:v>
      </x:c>
    </x:row>
    <x:row r="513" ht="42" customHeight="1">
      <x:c r="A513" s="21" t="str">
        <x:v>ST-512</x:v>
      </x:c>
      <x:c r="B513" s="21" t="str">
        <x:v>Interview</x:v>
      </x:c>
      <x:c r="C513" s="21" t="str">
        <x:v>Robotics</x:v>
      </x:c>
      <x:c r="D513" s="17" t="str">
        <x:v>Robotics / Embodied AI</x:v>
      </x:c>
      <x:c r="E513" s="17" t="str">
        <x:v>Robot Learning / Embodied AI / Control</x:v>
      </x:c>
      <x:c r="F513" s="22" t="str">
        <x:v>English</x:v>
      </x:c>
      <x:c r="G513" s="17" t="str">
        <x:v>Fully autonomous robots are much closer than you think – Sergey Levine</x:v>
      </x:c>
      <x:c r="H513" s="17" t="str">
        <x:v>Sergey Levine</x:v>
      </x:c>
      <x:c r="I513" s="17" t="str">
        <x:v>Dwarkesh Patel</x:v>
      </x:c>
      <x:c r="J513" s="22" t="str">
        <x:v>Research Interview</x:v>
      </x:c>
      <x:c r="K513" s="23" t="n">
        <x:v>88</x:v>
      </x:c>
      <x:c r="L513" s="16" t="str">
        <x:v>https://www.youtube.com/watch?v=48pxVdmkMIE</x:v>
      </x:c>
      <x:c r="M513" s="21" t="str">
        <x:v>YouTube</x:v>
      </x:c>
      <x:c r="N513" s="24" t="n">
        <x:v>264366</x:v>
      </x:c>
      <x:c r="O513" s="22" t="str">
        <x:v>B | University / Conference / Institution</x:v>
      </x:c>
      <x:c r="P513" s="22" t="str">
        <x:v>Recommended</x:v>
      </x:c>
      <x:c r="Q513" s="22" t="str">
        <x:v>Verified</x:v>
      </x:c>
      <x:c r="R513" s="25" t="n">
        <x:v>46246</x:v>
      </x:c>
      <x:c r="S513" s="17" t="str">
        <x:v>Curated in the targeted ScholarTube expansion; public metadata accessible and editorially reviewed.</x:v>
      </x:c>
      <x:c r="T513" s="16" t="str">
        <x:v>48pxVdmkMIE</x:v>
      </x:c>
    </x:row>
    <x:row r="514" ht="42" customHeight="1">
      <x:c r="A514" s="21" t="str">
        <x:v>ST-513</x:v>
      </x:c>
      <x:c r="B514" s="21" t="str">
        <x:v>Talk</x:v>
      </x:c>
      <x:c r="C514" s="21" t="str">
        <x:v>Robotics</x:v>
      </x:c>
      <x:c r="D514" s="17" t="str">
        <x:v>Robotics / Embodied AI</x:v>
      </x:c>
      <x:c r="E514" s="17" t="str">
        <x:v>Robot Learning / Embodied AI / Control</x:v>
      </x:c>
      <x:c r="F514" s="22" t="str">
        <x:v>English</x:v>
      </x:c>
      <x:c r="G514" s="17" t="str">
        <x:v>RI Seminar: Yuke Zhu : Toward Generalist Humanoid Robots</x:v>
      </x:c>
      <x:c r="H514" s="17" t="str">
        <x:v>Yuke Zhu</x:v>
      </x:c>
      <x:c r="I514" s="17" t="str">
        <x:v>CMU Robotics Institute</x:v>
      </x:c>
      <x:c r="J514" s="22" t="str">
        <x:v>Academic Talk / Research Seminar</x:v>
      </x:c>
      <x:c r="K514" s="23" t="n">
        <x:v>78</x:v>
      </x:c>
      <x:c r="L514" s="16" t="str">
        <x:v>https://www.youtube.com/watch?v=49LnlfM9DBU</x:v>
      </x:c>
      <x:c r="M514" s="21" t="str">
        <x:v>YouTube</x:v>
      </x:c>
      <x:c r="N514" s="24" t="n">
        <x:v>35233</x:v>
      </x:c>
      <x:c r="O514" s="22" t="str">
        <x:v>A | Official / Original Creator / Organizer</x:v>
      </x:c>
      <x:c r="P514" s="22" t="str">
        <x:v>Core</x:v>
      </x:c>
      <x:c r="Q514" s="22" t="str">
        <x:v>Verified</x:v>
      </x:c>
      <x:c r="R514" s="25" t="n">
        <x:v>46246</x:v>
      </x:c>
      <x:c r="S514" s="17" t="str">
        <x:v>Curated in the targeted ScholarTube expansion; official institution, conference, lab, course, or creator source.</x:v>
      </x:c>
      <x:c r="T514" s="16" t="str">
        <x:v>49LnlfM9DBU</x:v>
      </x:c>
    </x:row>
    <x:row r="515" ht="42" customHeight="1">
      <x:c r="A515" s="21" t="str">
        <x:v>ST-514</x:v>
      </x:c>
      <x:c r="B515" s="21" t="str">
        <x:v>Talk</x:v>
      </x:c>
      <x:c r="C515" s="21" t="str">
        <x:v>Robotics</x:v>
      </x:c>
      <x:c r="D515" s="17" t="str">
        <x:v>Robotics / Embodied AI</x:v>
      </x:c>
      <x:c r="E515" s="17" t="str">
        <x:v>Robot Learning / Embodied AI / Control</x:v>
      </x:c>
      <x:c r="F515" s="22" t="str">
        <x:v>English</x:v>
      </x:c>
      <x:c r="G515" s="17" t="str">
        <x:v>MIT Robotics - Marco Hutter - Robots in the wild</x:v>
      </x:c>
      <x:c r="H515" s="17" t="str">
        <x:v>Marco Hutter</x:v>
      </x:c>
      <x:c r="I515" s="17" t="str">
        <x:v>MIT Robotics</x:v>
      </x:c>
      <x:c r="J515" s="22" t="str">
        <x:v>Academic Talk / Research Seminar</x:v>
      </x:c>
      <x:c r="K515" s="23" t="n">
        <x:v>50</x:v>
      </x:c>
      <x:c r="L515" s="16" t="str">
        <x:v>https://www.youtube.com/watch?v=24uTRT32Cyw</x:v>
      </x:c>
      <x:c r="M515" s="21" t="str">
        <x:v>YouTube</x:v>
      </x:c>
      <x:c r="N515" s="24" t="n">
        <x:v>12875</x:v>
      </x:c>
      <x:c r="O515" s="22" t="str">
        <x:v>A | Official / Original Creator / Organizer</x:v>
      </x:c>
      <x:c r="P515" s="22" t="str">
        <x:v>Core</x:v>
      </x:c>
      <x:c r="Q515" s="22" t="str">
        <x:v>Verified</x:v>
      </x:c>
      <x:c r="R515" s="25" t="n">
        <x:v>46246</x:v>
      </x:c>
      <x:c r="S515" s="17" t="str">
        <x:v>Curated in the targeted ScholarTube expansion; official institution, conference, lab, course, or creator source.</x:v>
      </x:c>
      <x:c r="T515" s="16" t="str">
        <x:v>24uTRT32Cyw</x:v>
      </x:c>
    </x:row>
    <x:row r="516" ht="42" customHeight="1">
      <x:c r="A516" s="21" t="str">
        <x:v>ST-515</x:v>
      </x:c>
      <x:c r="B516" s="21" t="str">
        <x:v>Talk</x:v>
      </x:c>
      <x:c r="C516" s="21" t="str">
        <x:v>Robotics</x:v>
      </x:c>
      <x:c r="D516" s="17" t="str">
        <x:v>Robotics / Embodied AI</x:v>
      </x:c>
      <x:c r="E516" s="17" t="str">
        <x:v>Robot Learning / Embodied AI / Control</x:v>
      </x:c>
      <x:c r="F516" s="22" t="str">
        <x:v>English</x:v>
      </x:c>
      <x:c r="G516" s="17" t="str">
        <x:v>RI Seminar: Chelsea Finn : Robots Should Reduce, Reuse, and Recycle</x:v>
      </x:c>
      <x:c r="H516" s="17" t="str">
        <x:v>Chelsea Finn</x:v>
      </x:c>
      <x:c r="I516" s="17" t="str">
        <x:v>CMU Robotics Institute</x:v>
      </x:c>
      <x:c r="J516" s="22" t="str">
        <x:v>Academic Talk / Research Seminar</x:v>
      </x:c>
      <x:c r="K516" s="23" t="n">
        <x:v>72</x:v>
      </x:c>
      <x:c r="L516" s="16" t="str">
        <x:v>https://www.youtube.com/watch?v=m8pQeXe7J0w</x:v>
      </x:c>
      <x:c r="M516" s="21" t="str">
        <x:v>YouTube</x:v>
      </x:c>
      <x:c r="N516" s="24" t="n">
        <x:v>10562</x:v>
      </x:c>
      <x:c r="O516" s="22" t="str">
        <x:v>A | Official / Original Creator / Organizer</x:v>
      </x:c>
      <x:c r="P516" s="22" t="str">
        <x:v>Core</x:v>
      </x:c>
      <x:c r="Q516" s="22" t="str">
        <x:v>Verified</x:v>
      </x:c>
      <x:c r="R516" s="25" t="n">
        <x:v>46246</x:v>
      </x:c>
      <x:c r="S516" s="17" t="str">
        <x:v>Curated in the targeted ScholarTube expansion; official institution, conference, lab, course, or creator source.</x:v>
      </x:c>
      <x:c r="T516" s="16" t="str">
        <x:v>m8pQeXe7J0w</x:v>
      </x:c>
    </x:row>
    <x:row r="517" ht="42" customHeight="1">
      <x:c r="A517" s="21" t="str">
        <x:v>ST-516</x:v>
      </x:c>
      <x:c r="B517" s="21" t="str">
        <x:v>Talk</x:v>
      </x:c>
      <x:c r="C517" s="21" t="str">
        <x:v>Robotics</x:v>
      </x:c>
      <x:c r="D517" s="17" t="str">
        <x:v>Robotics / Embodied AI</x:v>
      </x:c>
      <x:c r="E517" s="17" t="str">
        <x:v>Robot Learning / Embodied AI / Control</x:v>
      </x:c>
      <x:c r="F517" s="22" t="str">
        <x:v>English</x:v>
      </x:c>
      <x:c r="G517" s="17" t="str">
        <x:v>Chelsea Finn: Building Robots That Can Do Anything</x:v>
      </x:c>
      <x:c r="H517" s="17" t="str">
        <x:v>Chelsea Finn</x:v>
      </x:c>
      <x:c r="I517" s="17" t="str">
        <x:v>Y Combinator</x:v>
      </x:c>
      <x:c r="J517" s="22" t="str">
        <x:v>Academic Talk / Research Seminar</x:v>
      </x:c>
      <x:c r="K517" s="23" t="n">
        <x:v>45</x:v>
      </x:c>
      <x:c r="L517" s="16" t="str">
        <x:v>https://www.youtube.com/watch?v=a8-QsBHoH94</x:v>
      </x:c>
      <x:c r="M517" s="21" t="str">
        <x:v>YouTube</x:v>
      </x:c>
      <x:c r="N517" s="24" t="n">
        <x:v>101354</x:v>
      </x:c>
      <x:c r="O517" s="22" t="str">
        <x:v>B | University / Conference / Institution</x:v>
      </x:c>
      <x:c r="P517" s="22" t="str">
        <x:v>Recommended</x:v>
      </x:c>
      <x:c r="Q517" s="22" t="str">
        <x:v>Verified</x:v>
      </x:c>
      <x:c r="R517" s="25" t="n">
        <x:v>46246</x:v>
      </x:c>
      <x:c r="S517" s="17" t="str">
        <x:v>Curated in the targeted ScholarTube expansion; public metadata accessible and editorially reviewed.</x:v>
      </x:c>
      <x:c r="T517" s="16" t="str">
        <x:v>a8-QsBHoH94</x:v>
      </x:c>
    </x:row>
    <x:row r="518" ht="42" customHeight="1">
      <x:c r="A518" s="21" t="str">
        <x:v>ST-517</x:v>
      </x:c>
      <x:c r="B518" s="21" t="str">
        <x:v>Talk</x:v>
      </x:c>
      <x:c r="C518" s="21" t="str">
        <x:v>Robotics</x:v>
      </x:c>
      <x:c r="D518" s="17" t="str">
        <x:v>Robotics / Embodied AI</x:v>
      </x:c>
      <x:c r="E518" s="17" t="str">
        <x:v>Robot Learning / Embodied AI / Control</x:v>
      </x:c>
      <x:c r="F518" s="22" t="str">
        <x:v>English</x:v>
      </x:c>
      <x:c r="G518" s="17" t="str">
        <x:v>Shuran Song: Making Manipulation as Simple as Possible but Not Simpler</x:v>
      </x:c>
      <x:c r="H518" s="17" t="str">
        <x:v>Shuran Song</x:v>
      </x:c>
      <x:c r="I518" s="17" t="str">
        <x:v>Computer Vision and Geometry Group, ETH Zurich</x:v>
      </x:c>
      <x:c r="J518" s="22" t="str">
        <x:v>Academic Talk / Research Seminar</x:v>
      </x:c>
      <x:c r="K518" s="23" t="n">
        <x:v>42</x:v>
      </x:c>
      <x:c r="L518" s="16" t="str">
        <x:v>https://www.youtube.com/watch?v=yzcokjCa18s</x:v>
      </x:c>
      <x:c r="M518" s="21" t="str">
        <x:v>YouTube</x:v>
      </x:c>
      <x:c r="N518" s="24" t="n">
        <x:v>4136</x:v>
      </x:c>
      <x:c r="O518" s="22" t="str">
        <x:v>B | University / Conference / Institution</x:v>
      </x:c>
      <x:c r="P518" s="22" t="str">
        <x:v>Recommended</x:v>
      </x:c>
      <x:c r="Q518" s="22" t="str">
        <x:v>Verified</x:v>
      </x:c>
      <x:c r="R518" s="25" t="n">
        <x:v>46246</x:v>
      </x:c>
      <x:c r="S518" s="17" t="str">
        <x:v>Curated in the targeted ScholarTube expansion; public metadata accessible and editorially reviewed.</x:v>
      </x:c>
      <x:c r="T518" s="16" t="str">
        <x:v>yzcokjCa18s</x:v>
      </x:c>
    </x:row>
    <x:row r="519" ht="42" customHeight="1">
      <x:c r="A519" s="21" t="str">
        <x:v>ST-518</x:v>
      </x:c>
      <x:c r="B519" s="21" t="str">
        <x:v>Talk</x:v>
      </x:c>
      <x:c r="C519" s="21" t="str">
        <x:v>Robotics</x:v>
      </x:c>
      <x:c r="D519" s="17" t="str">
        <x:v>Robotics / Embodied AI</x:v>
      </x:c>
      <x:c r="E519" s="17" t="str">
        <x:v>Robot Learning / Embodied AI / Control</x:v>
      </x:c>
      <x:c r="F519" s="22" t="str">
        <x:v>English</x:v>
      </x:c>
      <x:c r="G519" s="17" t="str">
        <x:v>MIT Robotics - Pulkit Agrawal - Coming of Age of Robot Learning</x:v>
      </x:c>
      <x:c r="H519" s="17" t="str">
        <x:v>Pulkit Agrawal</x:v>
      </x:c>
      <x:c r="I519" s="17" t="str">
        <x:v>MIT Robotics</x:v>
      </x:c>
      <x:c r="J519" s="22" t="str">
        <x:v>Academic Talk / Research Seminar</x:v>
      </x:c>
      <x:c r="K519" s="23" t="n">
        <x:v>65</x:v>
      </x:c>
      <x:c r="L519" s="16" t="str">
        <x:v>https://www.youtube.com/watch?v=TWx7LmiOyzA</x:v>
      </x:c>
      <x:c r="M519" s="21" t="str">
        <x:v>YouTube</x:v>
      </x:c>
      <x:c r="N519" s="24" t="n">
        <x:v>4249</x:v>
      </x:c>
      <x:c r="O519" s="22" t="str">
        <x:v>A | Official / Original Creator / Organizer</x:v>
      </x:c>
      <x:c r="P519" s="22" t="str">
        <x:v>Core</x:v>
      </x:c>
      <x:c r="Q519" s="22" t="str">
        <x:v>Verified</x:v>
      </x:c>
      <x:c r="R519" s="25" t="n">
        <x:v>46246</x:v>
      </x:c>
      <x:c r="S519" s="17" t="str">
        <x:v>Curated in the targeted ScholarTube expansion; official institution, conference, lab, course, or creator source.</x:v>
      </x:c>
      <x:c r="T519" s="16" t="str">
        <x:v>TWx7LmiOyzA</x:v>
      </x:c>
    </x:row>
    <x:row r="520" ht="42" customHeight="1">
      <x:c r="A520" s="21" t="str">
        <x:v>ST-519</x:v>
      </x:c>
      <x:c r="B520" s="21" t="str">
        <x:v>Talk</x:v>
      </x:c>
      <x:c r="C520" s="21" t="str">
        <x:v>Robotics</x:v>
      </x:c>
      <x:c r="D520" s="17" t="str">
        <x:v>Robotics / Embodied AI</x:v>
      </x:c>
      <x:c r="E520" s="17" t="str">
        <x:v>Robot Learning / Embodied AI / Control</x:v>
      </x:c>
      <x:c r="F520" s="22" t="str">
        <x:v>English</x:v>
      </x:c>
      <x:c r="G520" s="17" t="str">
        <x:v>Russ Tedrake, MIT and Toyota Research Institute: "Large Behavior Models for Dexterous Manipulation"</x:v>
      </x:c>
      <x:c r="H520" s="17" t="str">
        <x:v>Russ Tedrake</x:v>
      </x:c>
      <x:c r="I520" s="17" t="str">
        <x:v>Northwestern Robotics</x:v>
      </x:c>
      <x:c r="J520" s="22" t="str">
        <x:v>Academic Talk / Research Seminar</x:v>
      </x:c>
      <x:c r="K520" s="23" t="n">
        <x:v>62</x:v>
      </x:c>
      <x:c r="L520" s="16" t="str">
        <x:v>https://www.youtube.com/watch?v=y05L6pYWBc0</x:v>
      </x:c>
      <x:c r="M520" s="21" t="str">
        <x:v>YouTube</x:v>
      </x:c>
      <x:c r="N520" s="24" t="n">
        <x:v>5818</x:v>
      </x:c>
      <x:c r="O520" s="22" t="str">
        <x:v>A | Official / Original Creator / Organizer</x:v>
      </x:c>
      <x:c r="P520" s="22" t="str">
        <x:v>Core</x:v>
      </x:c>
      <x:c r="Q520" s="22" t="str">
        <x:v>Verified</x:v>
      </x:c>
      <x:c r="R520" s="25" t="n">
        <x:v>46246</x:v>
      </x:c>
      <x:c r="S520" s="17" t="str">
        <x:v>Curated in the targeted ScholarTube expansion; official institution, conference, lab, course, or creator source.</x:v>
      </x:c>
      <x:c r="T520" s="16" t="str">
        <x:v>y05L6pYWBc0</x:v>
      </x:c>
    </x:row>
    <x:row r="521" ht="42" customHeight="1">
      <x:c r="A521" s="21" t="str">
        <x:v>ST-520</x:v>
      </x:c>
      <x:c r="B521" s="21" t="str">
        <x:v>Talk</x:v>
      </x:c>
      <x:c r="C521" s="21" t="str">
        <x:v>Robotics</x:v>
      </x:c>
      <x:c r="D521" s="17" t="str">
        <x:v>Robotics / Embodied AI</x:v>
      </x:c>
      <x:c r="E521" s="17" t="str">
        <x:v>Robot Learning / Embodied AI / Control</x:v>
      </x:c>
      <x:c r="F521" s="22" t="str">
        <x:v>English</x:v>
      </x:c>
      <x:c r="G521" s="17" t="str">
        <x:v>Daniela Rus: Physical AI</x:v>
      </x:c>
      <x:c r="H521" s="17" t="str">
        <x:v>Daniela Rus</x:v>
      </x:c>
      <x:c r="I521" s="17" t="str">
        <x:v>Stanford Digital Economy Lab</x:v>
      </x:c>
      <x:c r="J521" s="22" t="str">
        <x:v>Academic Talk / Research Seminar</x:v>
      </x:c>
      <x:c r="K521" s="23" t="n">
        <x:v>61</x:v>
      </x:c>
      <x:c r="L521" s="16" t="str">
        <x:v>https://www.youtube.com/watch?v=cAdbblq5DI8</x:v>
      </x:c>
      <x:c r="M521" s="21" t="str">
        <x:v>YouTube</x:v>
      </x:c>
      <x:c r="N521" s="24" t="n">
        <x:v>4018</x:v>
      </x:c>
      <x:c r="O521" s="22" t="str">
        <x:v>A | Official / Original Creator / Organizer</x:v>
      </x:c>
      <x:c r="P521" s="22" t="str">
        <x:v>Core</x:v>
      </x:c>
      <x:c r="Q521" s="22" t="str">
        <x:v>Verified</x:v>
      </x:c>
      <x:c r="R521" s="25" t="n">
        <x:v>46246</x:v>
      </x:c>
      <x:c r="S521" s="17" t="str">
        <x:v>Curated in the targeted ScholarTube expansion; official institution, conference, lab, course, or creator source.</x:v>
      </x:c>
      <x:c r="T521" s="16" t="str">
        <x:v>cAdbblq5DI8</x:v>
      </x:c>
    </x:row>
    <x:row r="522" ht="42" customHeight="1">
      <x:c r="A522" s="21" t="str">
        <x:v>ST-521</x:v>
      </x:c>
      <x:c r="B522" s="21" t="str">
        <x:v>Talk</x:v>
      </x:c>
      <x:c r="C522" s="21" t="str">
        <x:v>Agent</x:v>
      </x:c>
      <x:c r="D522" s="17" t="str">
        <x:v>Agents / Tool Use / Reasoning</x:v>
      </x:c>
      <x:c r="E522" s="17" t="str">
        <x:v>Agents / Reasoning / Tool Use</x:v>
      </x:c>
      <x:c r="F522" s="22" t="str">
        <x:v>Chinese</x:v>
      </x:c>
      <x:c r="G522" s="17" t="str">
        <x:v>田渊栋博士：传统符号推理和大模型推理的融合之路</x:v>
      </x:c>
      <x:c r="H522" s="17" t="str">
        <x:v>Yuandong Tian</x:v>
      </x:c>
      <x:c r="I522" s="17" t="str">
        <x:v>AITIME论道</x:v>
      </x:c>
      <x:c r="J522" s="22" t="str">
        <x:v>Academic Talk / Research Seminar</x:v>
      </x:c>
      <x:c r="K522" s="23" t="n">
        <x:v>55</x:v>
      </x:c>
      <x:c r="L522" s="16" t="str">
        <x:v>https://www.bilibili.com/video/BV1vGmRYgEod</x:v>
      </x:c>
      <x:c r="M522" s="21" t="str">
        <x:v>Bilibili</x:v>
      </x:c>
      <x:c r="N522" s="24" t="n">
        <x:v>9390</x:v>
      </x:c>
      <x:c r="O522" s="22" t="str">
        <x:v>A | Official / Original Creator / Organizer</x:v>
      </x:c>
      <x:c r="P522" s="22" t="str">
        <x:v>Core</x:v>
      </x:c>
      <x:c r="Q522" s="22" t="str">
        <x:v>Verified</x:v>
      </x:c>
      <x:c r="R522" s="25" t="n">
        <x:v>46246</x:v>
      </x:c>
      <x:c r="S522" s="17" t="str">
        <x:v>Curated in the targeted ScholarTube expansion; official institution, conference, lab, course, or creator source.</x:v>
      </x:c>
      <x:c r="T522" s="16" t="str">
        <x:v>BV1vGmRYgEod</x:v>
      </x:c>
    </x:row>
    <x:row r="523" ht="42" customHeight="1">
      <x:c r="A523" s="21" t="str">
        <x:v>ST-522</x:v>
      </x:c>
      <x:c r="B523" s="21" t="str">
        <x:v>Talk</x:v>
      </x:c>
      <x:c r="C523" s="21" t="str">
        <x:v>World Model</x:v>
      </x:c>
      <x:c r="D523" s="17" t="str">
        <x:v>World Models / Predictive Intelligence</x:v>
      </x:c>
      <x:c r="E523" s="17" t="str">
        <x:v>World Models / JEPA / Spatial Intelligence</x:v>
      </x:c>
      <x:c r="F523" s="22" t="str">
        <x:v>Chinese</x:v>
      </x:c>
      <x:c r="G523" s="17" t="str">
        <x:v>田渊栋：表征学习的利用与理解</x:v>
      </x:c>
      <x:c r="H523" s="17" t="str">
        <x:v>Yuandong Tian</x:v>
      </x:c>
      <x:c r="I523" s="17" t="str">
        <x:v>机器之心官方</x:v>
      </x:c>
      <x:c r="J523" s="22" t="str">
        <x:v>Academic Talk / Research Seminar</x:v>
      </x:c>
      <x:c r="K523" s="23" t="n">
        <x:v>32</x:v>
      </x:c>
      <x:c r="L523" s="16" t="str">
        <x:v>https://www.bilibili.com/video/BV1jg411Z7mW</x:v>
      </x:c>
      <x:c r="M523" s="21" t="str">
        <x:v>Bilibili</x:v>
      </x:c>
      <x:c r="N523" s="24" t="n">
        <x:v>6645</x:v>
      </x:c>
      <x:c r="O523" s="22" t="str">
        <x:v>A | Official / Original Creator / Organizer</x:v>
      </x:c>
      <x:c r="P523" s="22" t="str">
        <x:v>Core</x:v>
      </x:c>
      <x:c r="Q523" s="22" t="str">
        <x:v>Verified</x:v>
      </x:c>
      <x:c r="R523" s="25" t="n">
        <x:v>46246</x:v>
      </x:c>
      <x:c r="S523" s="17" t="str">
        <x:v>Curated in the targeted ScholarTube expansion; official institution, conference, lab, course, or creator source.</x:v>
      </x:c>
      <x:c r="T523" s="16" t="str">
        <x:v>BV1jg411Z7mW</x:v>
      </x:c>
    </x:row>
    <x:row r="524" ht="42" customHeight="1">
      <x:c r="A524" s="21" t="str">
        <x:v>ST-523</x:v>
      </x:c>
      <x:c r="B524" s="21" t="str">
        <x:v>Talk</x:v>
      </x:c>
      <x:c r="C524" s="21" t="str">
        <x:v>Vision</x:v>
      </x:c>
      <x:c r="D524" s="17" t="str">
        <x:v>Computer Vision / 3D Vision</x:v>
      </x:c>
      <x:c r="E524" s="17" t="str">
        <x:v>Computer Vision / 3D Vision / Representation Learning</x:v>
      </x:c>
      <x:c r="F524" s="22" t="str">
        <x:v>Chinese</x:v>
      </x:c>
      <x:c r="G524" s="17" t="str">
        <x:v>20220608特邀报告【如何更好地理解对比学习】田渊栋 (Meta AI Research (FAIR))</x:v>
      </x:c>
      <x:c r="H524" s="17" t="str">
        <x:v>Yuandong Tian</x:v>
      </x:c>
      <x:c r="I524" s="17" t="str">
        <x:v>VALSE_Webinar</x:v>
      </x:c>
      <x:c r="J524" s="22" t="str">
        <x:v>Academic Talk / Research Seminar</x:v>
      </x:c>
      <x:c r="K524" s="23" t="n">
        <x:v>74</x:v>
      </x:c>
      <x:c r="L524" s="16" t="str">
        <x:v>https://www.bilibili.com/video/BV1CS4y1i7ct</x:v>
      </x:c>
      <x:c r="M524" s="21" t="str">
        <x:v>Bilibili</x:v>
      </x:c>
      <x:c r="N524" s="24" t="n">
        <x:v>5479</x:v>
      </x:c>
      <x:c r="O524" s="22" t="str">
        <x:v>A | Official / Original Creator / Organizer</x:v>
      </x:c>
      <x:c r="P524" s="22" t="str">
        <x:v>Core</x:v>
      </x:c>
      <x:c r="Q524" s="22" t="str">
        <x:v>Verified</x:v>
      </x:c>
      <x:c r="R524" s="25" t="n">
        <x:v>46246</x:v>
      </x:c>
      <x:c r="S524" s="17" t="str">
        <x:v>Curated in the targeted ScholarTube expansion; official institution, conference, lab, course, or creator source.</x:v>
      </x:c>
      <x:c r="T524" s="16" t="str">
        <x:v>BV1CS4y1i7ct</x:v>
      </x:c>
    </x:row>
    <x:row r="525" ht="42" customHeight="1">
      <x:c r="A525" s="21" t="str">
        <x:v>ST-524</x:v>
      </x:c>
      <x:c r="B525" s="21" t="str">
        <x:v>Interview</x:v>
      </x:c>
      <x:c r="C525" s="21" t="str">
        <x:v>Agent</x:v>
      </x:c>
      <x:c r="D525" s="17" t="str">
        <x:v>Agents / Tool Use / Reasoning</x:v>
      </x:c>
      <x:c r="E525" s="17" t="str">
        <x:v>Agents / Reasoning / Tool Use</x:v>
      </x:c>
      <x:c r="F525" s="22" t="str">
        <x:v>Chinese</x:v>
      </x:c>
      <x:c r="G525" s="17" t="str">
        <x:v>专访前FAIR研究总监田渊栋：Meta裁员之后，对AI的一些遗憾与思考</x:v>
      </x:c>
      <x:c r="H525" s="17" t="str">
        <x:v>Yuandong Tian</x:v>
      </x:c>
      <x:c r="I525" s="17" t="str">
        <x:v>硅谷101</x:v>
      </x:c>
      <x:c r="J525" s="22" t="str">
        <x:v>Research Interview</x:v>
      </x:c>
      <x:c r="K525" s="23" t="n">
        <x:v>39</x:v>
      </x:c>
      <x:c r="L525" s="16" t="str">
        <x:v>https://www.bilibili.com/video/BV1KpCFBSEc6</x:v>
      </x:c>
      <x:c r="M525" s="21" t="str">
        <x:v>Bilibili</x:v>
      </x:c>
      <x:c r="N525" s="24" t="n">
        <x:v>166695</x:v>
      </x:c>
      <x:c r="O525" s="22" t="str">
        <x:v>A | Official / Original Creator / Organizer</x:v>
      </x:c>
      <x:c r="P525" s="22" t="str">
        <x:v>Core</x:v>
      </x:c>
      <x:c r="Q525" s="22" t="str">
        <x:v>Verified</x:v>
      </x:c>
      <x:c r="R525" s="25" t="n">
        <x:v>46246</x:v>
      </x:c>
      <x:c r="S525" s="17" t="str">
        <x:v>Curated in the targeted ScholarTube expansion; official institution, conference, lab, course, or creator source.</x:v>
      </x:c>
      <x:c r="T525" s="16" t="str">
        <x:v>BV1KpCFBSEc6</x:v>
      </x:c>
    </x:row>
    <x:row r="526" ht="42" customHeight="1">
      <x:c r="A526" s="21" t="str">
        <x:v>ST-525</x:v>
      </x:c>
      <x:c r="B526" s="21" t="str">
        <x:v>Talk</x:v>
      </x:c>
      <x:c r="C526" s="21" t="str">
        <x:v>Agent</x:v>
      </x:c>
      <x:c r="D526" s="17" t="str">
        <x:v>Agents / Tool Use / Reasoning</x:v>
      </x:c>
      <x:c r="E526" s="17" t="str">
        <x:v>Agents / Reasoning / Tool Use</x:v>
      </x:c>
      <x:c r="F526" s="22" t="str">
        <x:v>Chinese</x:v>
      </x:c>
      <x:c r="G526" s="17" t="str">
        <x:v>将门创投 | Facebook人工智能研究院田渊栋：搭建强化学习的可扩展框架</x:v>
      </x:c>
      <x:c r="H526" s="17" t="str">
        <x:v>Yuandong Tian</x:v>
      </x:c>
      <x:c r="I526" s="17" t="str">
        <x:v>TechBeat人工智能社区</x:v>
      </x:c>
      <x:c r="J526" s="22" t="str">
        <x:v>Academic Talk / Research Seminar</x:v>
      </x:c>
      <x:c r="K526" s="23" t="n">
        <x:v>107</x:v>
      </x:c>
      <x:c r="L526" s="16" t="str">
        <x:v>https://www.bilibili.com/video/BV1fs411K7rq</x:v>
      </x:c>
      <x:c r="M526" s="21" t="str">
        <x:v>Bilibili</x:v>
      </x:c>
      <x:c r="N526" s="24" t="n">
        <x:v>2175</x:v>
      </x:c>
      <x:c r="O526" s="22" t="str">
        <x:v>B | University / Conference / Institution</x:v>
      </x:c>
      <x:c r="P526" s="22" t="str">
        <x:v>Recommended</x:v>
      </x:c>
      <x:c r="Q526" s="22" t="str">
        <x:v>Verified</x:v>
      </x:c>
      <x:c r="R526" s="25" t="n">
        <x:v>46246</x:v>
      </x:c>
      <x:c r="S526" s="17" t="str">
        <x:v>Curated in the targeted ScholarTube expansion; public metadata accessible and editorially reviewed.</x:v>
      </x:c>
      <x:c r="T526" s="16" t="str">
        <x:v>BV1fs411K7rq</x:v>
      </x:c>
    </x:row>
    <x:row r="527" ht="42" customHeight="1">
      <x:c r="A527" s="21" t="str">
        <x:v>ST-526</x:v>
      </x:c>
      <x:c r="B527" s="21" t="str">
        <x:v>Interview</x:v>
      </x:c>
      <x:c r="C527" s="21" t="str">
        <x:v>Agent</x:v>
      </x:c>
      <x:c r="D527" s="17" t="str">
        <x:v>Agents / Tool Use / Reasoning</x:v>
      </x:c>
      <x:c r="E527" s="17" t="str">
        <x:v>Agents / Reasoning / Tool Use</x:v>
      </x:c>
      <x:c r="F527" s="22" t="str">
        <x:v>Chinese</x:v>
      </x:c>
      <x:c r="G527" s="17" t="str">
        <x:v>硅谷坐标 x 田渊栋: 解析大模型护城河、记忆存储瓶颈与Agent对社会冲击</x:v>
      </x:c>
      <x:c r="H527" s="17" t="str">
        <x:v>Yuandong Tian</x:v>
      </x:c>
      <x:c r="I527" s="17" t="str">
        <x:v>硅谷坐标SV-Vector</x:v>
      </x:c>
      <x:c r="J527" s="22" t="str">
        <x:v>Research Interview</x:v>
      </x:c>
      <x:c r="K527" s="23" t="n">
        <x:v>62</x:v>
      </x:c>
      <x:c r="L527" s="16" t="str">
        <x:v>https://www.bilibili.com/video/BV1FZPhzSEXt</x:v>
      </x:c>
      <x:c r="M527" s="21" t="str">
        <x:v>Bilibili</x:v>
      </x:c>
      <x:c r="N527" s="24" t="n">
        <x:v>16223</x:v>
      </x:c>
      <x:c r="O527" s="22" t="str">
        <x:v>B | University / Conference / Institution</x:v>
      </x:c>
      <x:c r="P527" s="22" t="str">
        <x:v>Recommended</x:v>
      </x:c>
      <x:c r="Q527" s="22" t="str">
        <x:v>Verified</x:v>
      </x:c>
      <x:c r="R527" s="25" t="n">
        <x:v>46246</x:v>
      </x:c>
      <x:c r="S527" s="17" t="str">
        <x:v>Curated in the targeted ScholarTube expansion; public metadata accessible and editorially reviewed.</x:v>
      </x:c>
      <x:c r="T527" s="16" t="str">
        <x:v>BV1FZPhzSEXt</x:v>
      </x:c>
    </x:row>
    <x:row r="528" ht="42" customHeight="1">
      <x:c r="A528" s="21" t="str">
        <x:v>ST-527</x:v>
      </x:c>
      <x:c r="B528" s="21" t="str">
        <x:v>Interview</x:v>
      </x:c>
      <x:c r="C528" s="21" t="str">
        <x:v>Agent</x:v>
      </x:c>
      <x:c r="D528" s="17" t="str">
        <x:v>Agents / Tool Use / Reasoning</x:v>
      </x:c>
      <x:c r="E528" s="17" t="str">
        <x:v>Agents / Reasoning / Tool Use</x:v>
      </x:c>
      <x:c r="F528" s="22" t="str">
        <x:v>Chinese</x:v>
      </x:c>
      <x:c r="G528" s="17" t="str">
        <x:v>与田渊栋的访谈：大模型的真问题、变局、AI洪水与the path not taken</x:v>
      </x:c>
      <x:c r="H528" s="17" t="str">
        <x:v>Yuandong Tian</x:v>
      </x:c>
      <x:c r="I528" s="17" t="str">
        <x:v>卫诗婕_漫谈播客集</x:v>
      </x:c>
      <x:c r="J528" s="22" t="str">
        <x:v>Research Interview</x:v>
      </x:c>
      <x:c r="K528" s="23" t="n">
        <x:v>70</x:v>
      </x:c>
      <x:c r="L528" s="16" t="str">
        <x:v>https://www.bilibili.com/video/BV1ZGSoB5ETo</x:v>
      </x:c>
      <x:c r="M528" s="21" t="str">
        <x:v>Bilibili</x:v>
      </x:c>
      <x:c r="N528" s="24" t="n">
        <x:v>55758</x:v>
      </x:c>
      <x:c r="O528" s="22" t="str">
        <x:v>B | University / Conference / Institution</x:v>
      </x:c>
      <x:c r="P528" s="22" t="str">
        <x:v>Recommended</x:v>
      </x:c>
      <x:c r="Q528" s="22" t="str">
        <x:v>Verified</x:v>
      </x:c>
      <x:c r="R528" s="25" t="n">
        <x:v>46246</x:v>
      </x:c>
      <x:c r="S528" s="17" t="str">
        <x:v>Curated in the targeted ScholarTube expansion; public metadata accessible and editorially reviewed.</x:v>
      </x:c>
      <x:c r="T528" s="16" t="str">
        <x:v>BV1ZGSoB5ETo</x:v>
      </x:c>
    </x:row>
    <x:row r="529" ht="42" customHeight="1">
      <x:c r="A529" s="21" t="str">
        <x:v>ST-528</x:v>
      </x:c>
      <x:c r="B529" s="21" t="str">
        <x:v>Interview</x:v>
      </x:c>
      <x:c r="C529" s="21" t="str">
        <x:v>Agent</x:v>
      </x:c>
      <x:c r="D529" s="17" t="str">
        <x:v>Agents / Tool Use / Reasoning</x:v>
      </x:c>
      <x:c r="E529" s="17" t="str">
        <x:v>Agents / Reasoning / Tool Use</x:v>
      </x:c>
      <x:c r="F529" s="22" t="str">
        <x:v>Chinese</x:v>
      </x:c>
      <x:c r="G529" s="17" t="str">
        <x:v>「创见」田渊栋官宣创业前最后的访谈：当AI开始记住一切，遗忘反而成为通往更好模型的正确路径；关于AI记忆, 黑盒，涌现机制，scaling law以及人类的未来</x:v>
      </x:c>
      <x:c r="H529" s="17" t="str">
        <x:v>Yuandong Tian</x:v>
      </x:c>
      <x:c r="I529" s="17" t="str">
        <x:v>尚莞迪Lydia</x:v>
      </x:c>
      <x:c r="J529" s="22" t="str">
        <x:v>Research Interview</x:v>
      </x:c>
      <x:c r="K529" s="23" t="n">
        <x:v>97</x:v>
      </x:c>
      <x:c r="L529" s="16" t="str">
        <x:v>https://www.bilibili.com/video/BV1VtdpBZE9f</x:v>
      </x:c>
      <x:c r="M529" s="21" t="str">
        <x:v>Bilibili</x:v>
      </x:c>
      <x:c r="N529" s="24" t="n">
        <x:v>17071</x:v>
      </x:c>
      <x:c r="O529" s="22" t="str">
        <x:v>B | University / Conference / Institution</x:v>
      </x:c>
      <x:c r="P529" s="22" t="str">
        <x:v>Recommended</x:v>
      </x:c>
      <x:c r="Q529" s="22" t="str">
        <x:v>Verified</x:v>
      </x:c>
      <x:c r="R529" s="25" t="n">
        <x:v>46246</x:v>
      </x:c>
      <x:c r="S529" s="17" t="str">
        <x:v>Curated in the targeted ScholarTube expansion; public metadata accessible and editorially reviewed.</x:v>
      </x:c>
      <x:c r="T529" s="16" t="str">
        <x:v>BV1VtdpBZE9f</x:v>
      </x:c>
    </x:row>
    <x:row r="530" ht="42" customHeight="1">
      <x:c r="A530" s="21" t="str">
        <x:v>ST-529</x:v>
      </x:c>
      <x:c r="B530" s="21" t="str">
        <x:v>Talk</x:v>
      </x:c>
      <x:c r="C530" s="21" t="str">
        <x:v>Agent</x:v>
      </x:c>
      <x:c r="D530" s="17" t="str">
        <x:v>Agents / Tool Use / Reasoning</x:v>
      </x:c>
      <x:c r="E530" s="17" t="str">
        <x:v>Agents / Reasoning / Tool Use</x:v>
      </x:c>
      <x:c r="F530" s="22" t="str">
        <x:v>Chinese</x:v>
      </x:c>
      <x:c r="G530" s="17" t="str">
        <x:v>田渊栋：我们正在打开推理的黑箱 | 田渊栋 | Yuandong Tian | NeurIPS Workshop | 251206 | 原创中英字幕</x:v>
      </x:c>
      <x:c r="H530" s="17" t="str">
        <x:v>Yuandong Tian</x:v>
      </x:c>
      <x:c r="I530" s="17" t="str">
        <x:v>京口先生</x:v>
      </x:c>
      <x:c r="J530" s="22" t="str">
        <x:v>Academic Talk / Research Seminar</x:v>
      </x:c>
      <x:c r="K530" s="23" t="n">
        <x:v>30</x:v>
      </x:c>
      <x:c r="L530" s="16" t="str">
        <x:v>https://www.bilibili.com/video/BV1sNSQByE5D</x:v>
      </x:c>
      <x:c r="M530" s="21" t="str">
        <x:v>Bilibili</x:v>
      </x:c>
      <x:c r="N530" s="24" t="n">
        <x:v>5019</x:v>
      </x:c>
      <x:c r="O530" s="22" t="str">
        <x:v>B | University / Conference / Institution</x:v>
      </x:c>
      <x:c r="P530" s="22" t="str">
        <x:v>Recommended</x:v>
      </x:c>
      <x:c r="Q530" s="22" t="str">
        <x:v>Verified</x:v>
      </x:c>
      <x:c r="R530" s="25" t="n">
        <x:v>46246</x:v>
      </x:c>
      <x:c r="S530" s="17" t="str">
        <x:v>Curated in the targeted ScholarTube expansion; public metadata accessible and editorially reviewed.</x:v>
      </x:c>
      <x:c r="T530" s="16" t="str">
        <x:v>BV1sNSQByE5D</x:v>
      </x:c>
    </x:row>
  </x:sheetData>
  <x:conditionalFormatting sqref="B2:B530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530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530">
    <x:cfRule type="containsText" dxfId="7" priority="8" operator="containsText" text="Core"/>
  </x:conditionalFormatting>
  <x:conditionalFormatting sqref="Q2:Q530">
    <x:cfRule type="containsText" dxfId="8" priority="9" operator="containsText" text="Verified"/>
  </x:conditionalFormatting>
  <x:dataValidations count="6">
    <x:dataValidation type="list" sqref="B2:B530">
      <x:formula1>"Interview,Course,Talk"</x:formula1>
    </x:dataValidation>
    <x:dataValidation type="list" sqref="C2:C530">
      <x:formula1>"World Model,Agent,Vision,Robotics,Other"</x:formula1>
    </x:dataValidation>
    <x:dataValidation type="list" sqref="F2:F530">
      <x:formula1>"Chinese,English,Bilingual"</x:formula1>
    </x:dataValidation>
    <x:dataValidation type="list" sqref="M2:M530">
      <x:formula1>"YouTube,Bilibili,Xiaohongshu"</x:formula1>
    </x:dataValidation>
    <x:dataValidation type="list" sqref="P2:P530">
      <x:formula1>"Core,Recommended,Reserve"</x:formula1>
    </x:dataValidation>
    <x:dataValidation type="list" sqref="Q2:Q530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e552cbb717468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12.5" hidden="0" customWidth="1"/>
  </x:cols>
  <x:sheetData>
    <x:row r="1" ht="50" customHeight="1">
      <x:c r="A1" s="28" t="str">
        <x:v>Four Priority Areas</x:v>
      </x:c>
      <x:c r="B1" s="28" t="str">
        <x:v>Four Priority Areas</x:v>
      </x:c>
      <x:c r="C1" s="28" t="str">
        <x:v>Four Priority Areas</x:v>
      </x:c>
      <x:c r="D1" s="28" t="str">
        <x:v>Four Priority Areas</x:v>
      </x:c>
      <x:c r="E1" s="28" t="str">
        <x:v>Four Priority Areas</x:v>
      </x:c>
      <x:c r="F1" s="28" t="str">
        <x:v>Four Priority Areas</x:v>
      </x:c>
      <x:c r="G1" s="28" t="str">
        <x:v>Four Priority Areas</x:v>
      </x:c>
      <x:c r="H1" s="28" t="str">
        <x:v>Four Priority Areas</x:v>
      </x:c>
    </x:row>
    <x:row r="2" ht="28" customHeight="1">
      <x:c r="A2" s="30" t="str">
        <x:v>Each resource uses one primary label: World Model, Agent, Vision, or Robotics. Other is retained as a background pool.</x:v>
      </x:c>
      <x:c r="B2" s="30" t="str">
        <x:v>Each resource uses one primary label: World Model, Agent, Vision, or Robotics. Other is retained as a background pool.</x:v>
      </x:c>
      <x:c r="C2" s="30" t="str">
        <x:v>Each resource uses one primary label: World Model, Agent, Vision, or Robotics. Other is retained as a background pool.</x:v>
      </x:c>
      <x:c r="D2" s="30" t="str">
        <x:v>Each resource uses one primary label: World Model, Agent, Vision, or Robotics. Other is retained as a background pool.</x:v>
      </x:c>
      <x:c r="E2" s="30" t="str">
        <x:v>Each resource uses one primary label: World Model, Agent, Vision, or Robotics. Other is retained as a background pool.</x:v>
      </x:c>
      <x:c r="F2" s="30" t="str">
        <x:v>Each resource uses one primary label: World Model, Agent, Vision, or Robotics. Other is retained as a background pool.</x:v>
      </x:c>
      <x:c r="G2" s="30" t="str">
        <x:v>Each resource uses one primary label: World Model, Agent, Vision, or Robotics. Other is retained as a background pool.</x:v>
      </x:c>
      <x:c r="H2" s="30" t="str">
        <x:v>Each resource uses one primary label: World Model, Agent, Vision, or Robotics. Other is retained as a background pool.</x:v>
      </x:c>
    </x:row>
    <x:row r="4" ht="30" customHeight="1">
      <x:c r="A4" s="33" t="str">
        <x:v>Priority Area</x:v>
      </x:c>
      <x:c r="B4" s="33" t="str">
        <x:v>Total</x:v>
      </x:c>
      <x:c r="C4" s="33" t="str">
        <x:v>Interview</x:v>
      </x:c>
      <x:c r="D4" s="33" t="str">
        <x:v>Course</x:v>
      </x:c>
      <x:c r="E4" s="33" t="str">
        <x:v>Talk</x:v>
      </x:c>
      <x:c r="F4" s="33" t="str">
        <x:v>YouTube</x:v>
      </x:c>
      <x:c r="G4" s="33" t="str">
        <x:v>Bilibili</x:v>
      </x:c>
      <x:c r="H4" s="33" t="str">
        <x:v>Xiaohongshu</x:v>
      </x:c>
    </x:row>
    <x:row r="5" ht="34" customHeight="1">
      <x:c r="A5" s="64" t="str">
        <x:v>World Model</x:v>
      </x:c>
      <x:c r="B5" s="58" t="n">
        <x:f>COUNTIF('Resources'!$C$2:$C$530,A5)</x:f>
        <x:v>72</x:v>
      </x:c>
      <x:c r="C5" s="58" t="n">
        <x:f>COUNTIFS('Resources'!$C$2:$C$530,A5,'Resources'!$B$2:$B$530,"Interview")</x:f>
        <x:v>21</x:v>
      </x:c>
      <x:c r="D5" s="58" t="n">
        <x:f>COUNTIFS('Resources'!$C$2:$C$530,A5,'Resources'!$B$2:$B$530,"Course")</x:f>
        <x:v>23</x:v>
      </x:c>
      <x:c r="E5" s="58" t="n">
        <x:f>COUNTIFS('Resources'!$C$2:$C$530,A5,'Resources'!$B$2:$B$530,"Talk")</x:f>
        <x:v>28</x:v>
      </x:c>
      <x:c r="F5" s="58" t="n">
        <x:f>COUNTIFS('Resources'!$C$2:$C$530,A5,'Resources'!$M$2:$M$530,"YouTube")</x:f>
        <x:v>48</x:v>
      </x:c>
      <x:c r="G5" s="58" t="n">
        <x:f>COUNTIFS('Resources'!$C$2:$C$530,A5,'Resources'!$M$2:$M$530,"Bilibili")</x:f>
        <x:v>24</x:v>
      </x:c>
      <x:c r="H5" s="59" t="n">
        <x:f>COUNTIFS('Resources'!$C$2:$C$530,A5,'Resources'!$M$2:$M$530,"Xiaohongshu")</x:f>
        <x:v>0</x:v>
      </x:c>
    </x:row>
    <x:row r="6" ht="34" customHeight="1">
      <x:c r="A6" s="65" t="str">
        <x:v>Agent</x:v>
      </x:c>
      <x:c r="B6" s="60" t="n">
        <x:f>COUNTIF('Resources'!$C$2:$C$530,A6)</x:f>
        <x:v>83</x:v>
      </x:c>
      <x:c r="C6" s="60" t="n">
        <x:f>COUNTIFS('Resources'!$C$2:$C$530,A6,'Resources'!$B$2:$B$530,"Interview")</x:f>
        <x:v>22</x:v>
      </x:c>
      <x:c r="D6" s="60" t="n">
        <x:f>COUNTIFS('Resources'!$C$2:$C$530,A6,'Resources'!$B$2:$B$530,"Course")</x:f>
        <x:v>32</x:v>
      </x:c>
      <x:c r="E6" s="60" t="n">
        <x:f>COUNTIFS('Resources'!$C$2:$C$530,A6,'Resources'!$B$2:$B$530,"Talk")</x:f>
        <x:v>29</x:v>
      </x:c>
      <x:c r="F6" s="60" t="n">
        <x:f>COUNTIFS('Resources'!$C$2:$C$530,A6,'Resources'!$M$2:$M$530,"YouTube")</x:f>
        <x:v>52</x:v>
      </x:c>
      <x:c r="G6" s="60" t="n">
        <x:f>COUNTIFS('Resources'!$C$2:$C$530,A6,'Resources'!$M$2:$M$530,"Bilibili")</x:f>
        <x:v>31</x:v>
      </x:c>
      <x:c r="H6" s="61" t="n">
        <x:f>COUNTIFS('Resources'!$C$2:$C$530,A6,'Resources'!$M$2:$M$530,"Xiaohongshu")</x:f>
        <x:v>0</x:v>
      </x:c>
    </x:row>
    <x:row r="7" ht="34" customHeight="1">
      <x:c r="A7" s="66" t="str">
        <x:v>Vision</x:v>
      </x:c>
      <x:c r="B7" s="60" t="n">
        <x:f>COUNTIF('Resources'!$C$2:$C$530,A7)</x:f>
        <x:v>90</x:v>
      </x:c>
      <x:c r="C7" s="60" t="n">
        <x:f>COUNTIFS('Resources'!$C$2:$C$530,A7,'Resources'!$B$2:$B$530,"Interview")</x:f>
        <x:v>13</x:v>
      </x:c>
      <x:c r="D7" s="60" t="n">
        <x:f>COUNTIFS('Resources'!$C$2:$C$530,A7,'Resources'!$B$2:$B$530,"Course")</x:f>
        <x:v>44</x:v>
      </x:c>
      <x:c r="E7" s="60" t="n">
        <x:f>COUNTIFS('Resources'!$C$2:$C$530,A7,'Resources'!$B$2:$B$530,"Talk")</x:f>
        <x:v>33</x:v>
      </x:c>
      <x:c r="F7" s="60" t="n">
        <x:f>COUNTIFS('Resources'!$C$2:$C$530,A7,'Resources'!$M$2:$M$530,"YouTube")</x:f>
        <x:v>65</x:v>
      </x:c>
      <x:c r="G7" s="60" t="n">
        <x:f>COUNTIFS('Resources'!$C$2:$C$530,A7,'Resources'!$M$2:$M$530,"Bilibili")</x:f>
        <x:v>25</x:v>
      </x:c>
      <x:c r="H7" s="61" t="n">
        <x:f>COUNTIFS('Resources'!$C$2:$C$530,A7,'Resources'!$M$2:$M$530,"Xiaohongshu")</x:f>
        <x:v>0</x:v>
      </x:c>
    </x:row>
    <x:row r="8" ht="34" customHeight="1">
      <x:c r="A8" s="67" t="str">
        <x:v>Robotics</x:v>
      </x:c>
      <x:c r="B8" s="60" t="n">
        <x:f>COUNTIF('Resources'!$C$2:$C$530,A8)</x:f>
        <x:v>109</x:v>
      </x:c>
      <x:c r="C8" s="60" t="n">
        <x:f>COUNTIFS('Resources'!$C$2:$C$530,A8,'Resources'!$B$2:$B$530,"Interview")</x:f>
        <x:v>28</x:v>
      </x:c>
      <x:c r="D8" s="60" t="n">
        <x:f>COUNTIFS('Resources'!$C$2:$C$530,A8,'Resources'!$B$2:$B$530,"Course")</x:f>
        <x:v>33</x:v>
      </x:c>
      <x:c r="E8" s="60" t="n">
        <x:f>COUNTIFS('Resources'!$C$2:$C$530,A8,'Resources'!$B$2:$B$530,"Talk")</x:f>
        <x:v>48</x:v>
      </x:c>
      <x:c r="F8" s="60" t="n">
        <x:f>COUNTIFS('Resources'!$C$2:$C$530,A8,'Resources'!$M$2:$M$530,"YouTube")</x:f>
        <x:v>85</x:v>
      </x:c>
      <x:c r="G8" s="60" t="n">
        <x:f>COUNTIFS('Resources'!$C$2:$C$530,A8,'Resources'!$M$2:$M$530,"Bilibili")</x:f>
        <x:v>24</x:v>
      </x:c>
      <x:c r="H8" s="61" t="n">
        <x:f>COUNTIFS('Resources'!$C$2:$C$530,A8,'Resources'!$M$2:$M$530,"Xiaohongshu")</x:f>
        <x:v>0</x:v>
      </x:c>
    </x:row>
    <x:row r="9" ht="34" customHeight="1">
      <x:c r="A9" s="68" t="str">
        <x:v>Other</x:v>
      </x:c>
      <x:c r="B9" s="62" t="n">
        <x:f>COUNTIF('Resources'!$C$2:$C$530,A9)</x:f>
        <x:v>175</x:v>
      </x:c>
      <x:c r="C9" s="62" t="n">
        <x:f>COUNTIFS('Resources'!$C$2:$C$530,A9,'Resources'!$B$2:$B$530,"Interview")</x:f>
        <x:v>52</x:v>
      </x:c>
      <x:c r="D9" s="62" t="n">
        <x:f>COUNTIFS('Resources'!$C$2:$C$530,A9,'Resources'!$B$2:$B$530,"Course")</x:f>
        <x:v>66</x:v>
      </x:c>
      <x:c r="E9" s="62" t="n">
        <x:f>COUNTIFS('Resources'!$C$2:$C$530,A9,'Resources'!$B$2:$B$530,"Talk")</x:f>
        <x:v>57</x:v>
      </x:c>
      <x:c r="F9" s="62" t="n">
        <x:f>COUNTIFS('Resources'!$C$2:$C$530,A9,'Resources'!$M$2:$M$530,"YouTube")</x:f>
        <x:v>175</x:v>
      </x:c>
      <x:c r="G9" s="62" t="n">
        <x:f>COUNTIFS('Resources'!$C$2:$C$530,A9,'Resources'!$M$2:$M$530,"Bilibili")</x:f>
        <x:v>0</x:v>
      </x:c>
      <x:c r="H9" s="63" t="n">
        <x:f>COUNTIFS('Resources'!$C$2:$C$530,A9,'Resources'!$M$2:$M$530,"Xiaohongshu")</x:f>
        <x:v>0</x:v>
      </x:c>
    </x:row>
    <x:row r="11" ht="44" customHeight="1">
      <x:c r="A11" s="72" t="str">
        <x:v>Editorial recommendation: show the four priority areas by default; keep Other in the back office or extended filters. Add Xiaohongshu resources under the same labels after sign-in.</x:v>
      </x:c>
      <x:c r="B11" s="72" t="str">
        <x:v>Editorial recommendation: show the four priority areas by default; keep Other in the back office or extended filters. Add Xiaohongshu resources under the same labels after sign-in.</x:v>
      </x:c>
      <x:c r="C11" s="72" t="str">
        <x:v>Editorial recommendation: show the four priority areas by default; keep Other in the back office or extended filters. Add Xiaohongshu resources under the same labels after sign-in.</x:v>
      </x:c>
      <x:c r="D11" s="72" t="str">
        <x:v>Editorial recommendation: show the four priority areas by default; keep Other in the back office or extended filters. Add Xiaohongshu resources under the same labels after sign-in.</x:v>
      </x:c>
      <x:c r="E11" s="72" t="str">
        <x:v>Editorial recommendation: show the four priority areas by default; keep Other in the back office or extended filters. Add Xiaohongshu resources under the same labels after sign-in.</x:v>
      </x:c>
      <x:c r="F11" s="72" t="str">
        <x:v>Editorial recommendation: show the four priority areas by default; keep Other in the back office or extended filters. Add Xiaohongshu resources under the same labels after sign-in.</x:v>
      </x:c>
      <x:c r="G11" s="72" t="str">
        <x:v>Editorial recommendation: show the four priority areas by default; keep Other in the back office or extended filters. Add Xiaohongshu resources under the same labels after sign-in.</x:v>
      </x:c>
      <x:c r="H11" s="72" t="str">
        <x:v>Editorial recommendation: show the four priority areas by default; keep Other in the back office or extended filters. Add Xiaohongshu resources under the same labels after sign-in.</x:v>
      </x:c>
    </x:row>
    <x:row r="12" ht="44" customHeight="1">
      <x:c r="A12" s="72" t="str">
        <x:v>Editorial recommendation: show the four priority areas by default; keep Other in the back office or extended filters. Add Xiaohongshu resources under the same labels after sign-in.</x:v>
      </x:c>
      <x:c r="B12" s="72" t="str">
        <x:v>Editorial recommendation: show the four priority areas by default; keep Other in the back office or extended filters. Add Xiaohongshu resources under the same labels after sign-in.</x:v>
      </x:c>
      <x:c r="C12" s="72" t="str">
        <x:v>Editorial recommendation: show the four priority areas by default; keep Other in the back office or extended filters. Add Xiaohongshu resources under the same labels after sign-in.</x:v>
      </x:c>
      <x:c r="D12" s="72" t="str">
        <x:v>Editorial recommendation: show the four priority areas by default; keep Other in the back office or extended filters. Add Xiaohongshu resources under the same labels after sign-in.</x:v>
      </x:c>
      <x:c r="E12" s="72" t="str">
        <x:v>Editorial recommendation: show the four priority areas by default; keep Other in the back office or extended filters. Add Xiaohongshu resources under the same labels after sign-in.</x:v>
      </x:c>
      <x:c r="F12" s="72" t="str">
        <x:v>Editorial recommendation: show the four priority areas by default; keep Other in the back office or extended filters. Add Xiaohongshu resources under the same labels after sign-in.</x:v>
      </x:c>
      <x:c r="G12" s="72" t="str">
        <x:v>Editorial recommendation: show the four priority areas by default; keep Other in the back office or extended filters. Add Xiaohongshu resources under the same labels after sign-in.</x:v>
      </x:c>
      <x:c r="H12" s="72" t="str">
        <x:v>Editorial recommendation: show the four priority areas by default; keep Other in the back office or extended filters. Add Xiaohongshu resources under the same labels after sign-in.</x:v>
      </x:c>
    </x:row>
  </x:sheetData>
  <x:mergeCells>
    <x:mergeCell ref="A1:H1"/>
    <x:mergeCell ref="A2:H2"/>
    <x:mergeCell ref="A11:H12"/>
  </x:mergeCells>
  <x:pageMargins left="0.7" right="0.7" top="0.75" bottom="0.75" header="0.3" footer="0.3"/>
  <x:tableParts count="1">
    <x:tablePart xmlns:r="http://schemas.openxmlformats.org/officeDocument/2006/relationships" r:id="R76fb057541cc4af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4" t="str">
        <x:v>AI Domain</x:v>
      </x:c>
      <x:c r="B1" s="74" t="str">
        <x:v>Total</x:v>
      </x:c>
      <x:c r="C1" s="74" t="str">
        <x:v>Interview</x:v>
      </x:c>
      <x:c r="D1" s="74" t="str">
        <x:v>Course</x:v>
      </x:c>
      <x:c r="E1" s="74" t="str">
        <x:v>Talk</x:v>
      </x:c>
    </x:row>
    <x:row r="2">
      <x:c r="A2" s="34" t="str">
        <x:v>Agents</x:v>
      </x:c>
      <x:c r="B2" s="81" t="n">
        <x:f>COUNTIF('Resources'!$D$2:$D$530,A2)</x:f>
        <x:v>39</x:v>
      </x:c>
      <x:c r="C2" s="81" t="n">
        <x:f>COUNTIFS('Resources'!$D$2:$D$530,A2,'Resources'!$B$2:$B$530,"Interview")</x:f>
        <x:v>12</x:v>
      </x:c>
      <x:c r="D2" s="81" t="n">
        <x:f>COUNTIFS('Resources'!$D$2:$D$530,A2,'Resources'!$B$2:$B$530,"Course")</x:f>
        <x:v>14</x:v>
      </x:c>
      <x:c r="E2" s="82" t="n">
        <x:f>COUNTIFS('Resources'!$D$2:$D$530,A2,'Resources'!$B$2:$B$530,"Talk")</x:f>
        <x:v>13</x:v>
      </x:c>
    </x:row>
    <x:row r="3">
      <x:c r="A3" s="37" t="str">
        <x:v>Agents / Tool Use / Reasoning</x:v>
      </x:c>
      <x:c r="B3" s="83" t="n">
        <x:f>COUNTIF('Resources'!$D$2:$D$530,A3)</x:f>
        <x:v>41</x:v>
      </x:c>
      <x:c r="C3" s="83" t="n">
        <x:f>COUNTIFS('Resources'!$D$2:$D$530,A3,'Resources'!$B$2:$B$530,"Interview")</x:f>
        <x:v>8</x:v>
      </x:c>
      <x:c r="D3" s="83" t="n">
        <x:f>COUNTIFS('Resources'!$D$2:$D$530,A3,'Resources'!$B$2:$B$530,"Course")</x:f>
        <x:v>18</x:v>
      </x:c>
      <x:c r="E3" s="84" t="n">
        <x:f>COUNTIFS('Resources'!$D$2:$D$530,A3,'Resources'!$B$2:$B$530,"Talk")</x:f>
        <x:v>15</x:v>
      </x:c>
    </x:row>
    <x:row r="4">
      <x:c r="A4" s="37" t="str">
        <x:v>AI and Society</x:v>
      </x:c>
      <x:c r="B4" s="83" t="n">
        <x:f>COUNTIF('Resources'!$D$2:$D$530,A4)</x:f>
        <x:v>5</x:v>
      </x:c>
      <x:c r="C4" s="83" t="n">
        <x:f>COUNTIFS('Resources'!$D$2:$D$530,A4,'Resources'!$B$2:$B$530,"Interview")</x:f>
        <x:v>0</x:v>
      </x:c>
      <x:c r="D4" s="83" t="n">
        <x:f>COUNTIFS('Resources'!$D$2:$D$530,A4,'Resources'!$B$2:$B$530,"Course")</x:f>
        <x:v>0</x:v>
      </x:c>
      <x:c r="E4" s="84" t="n">
        <x:f>COUNTIFS('Resources'!$D$2:$D$530,A4,'Resources'!$B$2:$B$530,"Talk")</x:f>
        <x:v>5</x:v>
      </x:c>
    </x:row>
    <x:row r="5">
      <x:c r="A5" s="37" t="str">
        <x:v>AI for Science</x:v>
      </x:c>
      <x:c r="B5" s="83" t="n">
        <x:f>COUNTIF('Resources'!$D$2:$D$530,A5)</x:f>
        <x:v>4</x:v>
      </x:c>
      <x:c r="C5" s="83" t="n">
        <x:f>COUNTIFS('Resources'!$D$2:$D$530,A5,'Resources'!$B$2:$B$530,"Interview")</x:f>
        <x:v>0</x:v>
      </x:c>
      <x:c r="D5" s="83" t="n">
        <x:f>COUNTIFS('Resources'!$D$2:$D$530,A5,'Resources'!$B$2:$B$530,"Course")</x:f>
        <x:v>0</x:v>
      </x:c>
      <x:c r="E5" s="84" t="n">
        <x:f>COUNTIFS('Resources'!$D$2:$D$530,A5,'Resources'!$B$2:$B$530,"Talk")</x:f>
        <x:v>4</x:v>
      </x:c>
    </x:row>
    <x:row r="6">
      <x:c r="A6" s="37" t="str">
        <x:v>AI Foundations</x:v>
      </x:c>
      <x:c r="B6" s="83" t="n">
        <x:f>COUNTIF('Resources'!$D$2:$D$530,A6)</x:f>
        <x:v>5</x:v>
      </x:c>
      <x:c r="C6" s="83" t="n">
        <x:f>COUNTIFS('Resources'!$D$2:$D$530,A6,'Resources'!$B$2:$B$530,"Interview")</x:f>
        <x:v>0</x:v>
      </x:c>
      <x:c r="D6" s="83" t="n">
        <x:f>COUNTIFS('Resources'!$D$2:$D$530,A6,'Resources'!$B$2:$B$530,"Course")</x:f>
        <x:v>5</x:v>
      </x:c>
      <x:c r="E6" s="84" t="n">
        <x:f>COUNTIFS('Resources'!$D$2:$D$530,A6,'Resources'!$B$2:$B$530,"Talk")</x:f>
        <x:v>0</x:v>
      </x:c>
    </x:row>
    <x:row r="7">
      <x:c r="A7" s="37" t="str">
        <x:v>AI Frontiers / Industry</x:v>
      </x:c>
      <x:c r="B7" s="83" t="n">
        <x:f>COUNTIF('Resources'!$D$2:$D$530,A7)</x:f>
        <x:v>8</x:v>
      </x:c>
      <x:c r="C7" s="83" t="n">
        <x:f>COUNTIFS('Resources'!$D$2:$D$530,A7,'Resources'!$B$2:$B$530,"Interview")</x:f>
        <x:v>8</x:v>
      </x:c>
      <x:c r="D7" s="83" t="n">
        <x:f>COUNTIFS('Resources'!$D$2:$D$530,A7,'Resources'!$B$2:$B$530,"Course")</x:f>
        <x:v>0</x:v>
      </x:c>
      <x:c r="E7" s="84" t="n">
        <x:f>COUNTIFS('Resources'!$D$2:$D$530,A7,'Resources'!$B$2:$B$530,"Talk")</x:f>
        <x:v>0</x:v>
      </x:c>
    </x:row>
    <x:row r="8">
      <x:c r="A8" s="37" t="str">
        <x:v>AI Industry / Startups</x:v>
      </x:c>
      <x:c r="B8" s="83" t="n">
        <x:f>COUNTIF('Resources'!$D$2:$D$530,A8)</x:f>
        <x:v>4</x:v>
      </x:c>
      <x:c r="C8" s="83" t="n">
        <x:f>COUNTIFS('Resources'!$D$2:$D$530,A8,'Resources'!$B$2:$B$530,"Interview")</x:f>
        <x:v>4</x:v>
      </x:c>
      <x:c r="D8" s="83" t="n">
        <x:f>COUNTIFS('Resources'!$D$2:$D$530,A8,'Resources'!$B$2:$B$530,"Course")</x:f>
        <x:v>0</x:v>
      </x:c>
      <x:c r="E8" s="84" t="n">
        <x:f>COUNTIFS('Resources'!$D$2:$D$530,A8,'Resources'!$B$2:$B$530,"Talk")</x:f>
        <x:v>0</x:v>
      </x:c>
    </x:row>
    <x:row r="9">
      <x:c r="A9" s="37" t="str">
        <x:v>AI Research / Social Impact</x:v>
      </x:c>
      <x:c r="B9" s="83" t="n">
        <x:f>COUNTIF('Resources'!$D$2:$D$530,A9)</x:f>
        <x:v>6</x:v>
      </x:c>
      <x:c r="C9" s="83" t="n">
        <x:f>COUNTIFS('Resources'!$D$2:$D$530,A9,'Resources'!$B$2:$B$530,"Interview")</x:f>
        <x:v>6</x:v>
      </x:c>
      <x:c r="D9" s="83" t="n">
        <x:f>COUNTIFS('Resources'!$D$2:$D$530,A9,'Resources'!$B$2:$B$530,"Course")</x:f>
        <x:v>0</x:v>
      </x:c>
      <x:c r="E9" s="84" t="n">
        <x:f>COUNTIFS('Resources'!$D$2:$D$530,A9,'Resources'!$B$2:$B$530,"Talk")</x:f>
        <x:v>0</x:v>
      </x:c>
    </x:row>
    <x:row r="10">
      <x:c r="A10" s="37" t="str">
        <x:v>AI Research Frontiers</x:v>
      </x:c>
      <x:c r="B10" s="83" t="n">
        <x:f>COUNTIF('Resources'!$D$2:$D$530,A10)</x:f>
        <x:v>11</x:v>
      </x:c>
      <x:c r="C10" s="83" t="n">
        <x:f>COUNTIFS('Resources'!$D$2:$D$530,A10,'Resources'!$B$2:$B$530,"Interview")</x:f>
        <x:v>0</x:v>
      </x:c>
      <x:c r="D10" s="83" t="n">
        <x:f>COUNTIFS('Resources'!$D$2:$D$530,A10,'Resources'!$B$2:$B$530,"Course")</x:f>
        <x:v>0</x:v>
      </x:c>
      <x:c r="E10" s="84" t="n">
        <x:f>COUNTIFS('Resources'!$D$2:$D$530,A10,'Resources'!$B$2:$B$530,"Talk")</x:f>
        <x:v>11</x:v>
      </x:c>
    </x:row>
    <x:row r="11">
      <x:c r="A11" s="37" t="str">
        <x:v>AI Startups / Foundation Models</x:v>
      </x:c>
      <x:c r="B11" s="83" t="n">
        <x:f>COUNTIF('Resources'!$D$2:$D$530,A11)</x:f>
        <x:v>7</x:v>
      </x:c>
      <x:c r="C11" s="83" t="n">
        <x:f>COUNTIFS('Resources'!$D$2:$D$530,A11,'Resources'!$B$2:$B$530,"Interview")</x:f>
        <x:v>7</x:v>
      </x:c>
      <x:c r="D11" s="83" t="n">
        <x:f>COUNTIFS('Resources'!$D$2:$D$530,A11,'Resources'!$B$2:$B$530,"Course")</x:f>
        <x:v>0</x:v>
      </x:c>
      <x:c r="E11" s="84" t="n">
        <x:f>COUNTIFS('Resources'!$D$2:$D$530,A11,'Resources'!$B$2:$B$530,"Talk")</x:f>
        <x:v>0</x:v>
      </x:c>
    </x:row>
    <x:row r="12">
      <x:c r="A12" s="37" t="str">
        <x:v>AI Systems / Accelerated Computing</x:v>
      </x:c>
      <x:c r="B12" s="83" t="n">
        <x:f>COUNTIF('Resources'!$D$2:$D$530,A12)</x:f>
        <x:v>11</x:v>
      </x:c>
      <x:c r="C12" s="83" t="n">
        <x:f>COUNTIFS('Resources'!$D$2:$D$530,A12,'Resources'!$B$2:$B$530,"Interview")</x:f>
        <x:v>6</x:v>
      </x:c>
      <x:c r="D12" s="83" t="n">
        <x:f>COUNTIFS('Resources'!$D$2:$D$530,A12,'Resources'!$B$2:$B$530,"Course")</x:f>
        <x:v>0</x:v>
      </x:c>
      <x:c r="E12" s="84" t="n">
        <x:f>COUNTIFS('Resources'!$D$2:$D$530,A12,'Resources'!$B$2:$B$530,"Talk")</x:f>
        <x:v>5</x:v>
      </x:c>
    </x:row>
    <x:row r="13">
      <x:c r="A13" s="37" t="str">
        <x:v>AI Systems / Infrastructure</x:v>
      </x:c>
      <x:c r="B13" s="83" t="n">
        <x:f>COUNTIF('Resources'!$D$2:$D$530,A13)</x:f>
        <x:v>4</x:v>
      </x:c>
      <x:c r="C13" s="83" t="n">
        <x:f>COUNTIFS('Resources'!$D$2:$D$530,A13,'Resources'!$B$2:$B$530,"Interview")</x:f>
        <x:v>0</x:v>
      </x:c>
      <x:c r="D13" s="83" t="n">
        <x:f>COUNTIFS('Resources'!$D$2:$D$530,A13,'Resources'!$B$2:$B$530,"Course")</x:f>
        <x:v>0</x:v>
      </x:c>
      <x:c r="E13" s="84" t="n">
        <x:f>COUNTIFS('Resources'!$D$2:$D$530,A13,'Resources'!$B$2:$B$530,"Talk")</x:f>
        <x:v>4</x:v>
      </x:c>
    </x:row>
    <x:row r="14">
      <x:c r="A14" s="37" t="str">
        <x:v>Chinese AI Researchers / Industry</x:v>
      </x:c>
      <x:c r="B14" s="83" t="n">
        <x:f>COUNTIF('Resources'!$D$2:$D$530,A14)</x:f>
        <x:v>3</x:v>
      </x:c>
      <x:c r="C14" s="83" t="n">
        <x:f>COUNTIFS('Resources'!$D$2:$D$530,A14,'Resources'!$B$2:$B$530,"Interview")</x:f>
        <x:v>3</x:v>
      </x:c>
      <x:c r="D14" s="83" t="n">
        <x:f>COUNTIFS('Resources'!$D$2:$D$530,A14,'Resources'!$B$2:$B$530,"Course")</x:f>
        <x:v>0</x:v>
      </x:c>
      <x:c r="E14" s="84" t="n">
        <x:f>COUNTIFS('Resources'!$D$2:$D$530,A14,'Resources'!$B$2:$B$530,"Talk")</x:f>
        <x:v>0</x:v>
      </x:c>
    </x:row>
    <x:row r="15">
      <x:c r="A15" s="37" t="str">
        <x:v>Computer Vision</x:v>
      </x:c>
      <x:c r="B15" s="83" t="n">
        <x:f>COUNTIF('Resources'!$D$2:$D$530,A15)</x:f>
        <x:v>10</x:v>
      </x:c>
      <x:c r="C15" s="83" t="n">
        <x:f>COUNTIFS('Resources'!$D$2:$D$530,A15,'Resources'!$B$2:$B$530,"Interview")</x:f>
        <x:v>0</x:v>
      </x:c>
      <x:c r="D15" s="83" t="n">
        <x:f>COUNTIFS('Resources'!$D$2:$D$530,A15,'Resources'!$B$2:$B$530,"Course")</x:f>
        <x:v>6</x:v>
      </x:c>
      <x:c r="E15" s="84" t="n">
        <x:f>COUNTIFS('Resources'!$D$2:$D$530,A15,'Resources'!$B$2:$B$530,"Talk")</x:f>
        <x:v>4</x:v>
      </x:c>
    </x:row>
    <x:row r="16">
      <x:c r="A16" s="37" t="str">
        <x:v>Computer Vision / 3D Vision</x:v>
      </x:c>
      <x:c r="B16" s="83" t="n">
        <x:f>COUNTIF('Resources'!$D$2:$D$530,A16)</x:f>
        <x:v>33</x:v>
      </x:c>
      <x:c r="C16" s="83" t="n">
        <x:f>COUNTIFS('Resources'!$D$2:$D$530,A16,'Resources'!$B$2:$B$530,"Interview")</x:f>
        <x:v>1</x:v>
      </x:c>
      <x:c r="D16" s="83" t="n">
        <x:f>COUNTIFS('Resources'!$D$2:$D$530,A16,'Resources'!$B$2:$B$530,"Course")</x:f>
        <x:v>22</x:v>
      </x:c>
      <x:c r="E16" s="84" t="n">
        <x:f>COUNTIFS('Resources'!$D$2:$D$530,A16,'Resources'!$B$2:$B$530,"Talk")</x:f>
        <x:v>10</x:v>
      </x:c>
    </x:row>
    <x:row r="17">
      <x:c r="A17" s="37" t="str">
        <x:v>Deep Learning / Representation Learning</x:v>
      </x:c>
      <x:c r="B17" s="83" t="n">
        <x:f>COUNTIF('Resources'!$D$2:$D$530,A17)</x:f>
        <x:v>5</x:v>
      </x:c>
      <x:c r="C17" s="83" t="n">
        <x:f>COUNTIFS('Resources'!$D$2:$D$530,A17,'Resources'!$B$2:$B$530,"Interview")</x:f>
        <x:v>0</x:v>
      </x:c>
      <x:c r="D17" s="83" t="n">
        <x:f>COUNTIFS('Resources'!$D$2:$D$530,A17,'Resources'!$B$2:$B$530,"Course")</x:f>
        <x:v>5</x:v>
      </x:c>
      <x:c r="E17" s="84" t="n">
        <x:f>COUNTIFS('Resources'!$D$2:$D$530,A17,'Resources'!$B$2:$B$530,"Talk")</x:f>
        <x:v>0</x:v>
      </x:c>
    </x:row>
    <x:row r="18">
      <x:c r="A18" s="37" t="str">
        <x:v>Deep Learning / Research Trends</x:v>
      </x:c>
      <x:c r="B18" s="83" t="n">
        <x:f>COUNTIF('Resources'!$D$2:$D$530,A18)</x:f>
        <x:v>8</x:v>
      </x:c>
      <x:c r="C18" s="83" t="n">
        <x:f>COUNTIFS('Resources'!$D$2:$D$530,A18,'Resources'!$B$2:$B$530,"Interview")</x:f>
        <x:v>8</x:v>
      </x:c>
      <x:c r="D18" s="83" t="n">
        <x:f>COUNTIFS('Resources'!$D$2:$D$530,A18,'Resources'!$B$2:$B$530,"Course")</x:f>
        <x:v>0</x:v>
      </x:c>
      <x:c r="E18" s="84" t="n">
        <x:f>COUNTIFS('Resources'!$D$2:$D$530,A18,'Resources'!$B$2:$B$530,"Talk")</x:f>
        <x:v>0</x:v>
      </x:c>
    </x:row>
    <x:row r="19">
      <x:c r="A19" s="37" t="str">
        <x:v>Deep Learning / Speech</x:v>
      </x:c>
      <x:c r="B19" s="83" t="n">
        <x:f>COUNTIF('Resources'!$D$2:$D$530,A19)</x:f>
        <x:v>4</x:v>
      </x:c>
      <x:c r="C19" s="83" t="n">
        <x:f>COUNTIFS('Resources'!$D$2:$D$530,A19,'Resources'!$B$2:$B$530,"Interview")</x:f>
        <x:v>0</x:v>
      </x:c>
      <x:c r="D19" s="83" t="n">
        <x:f>COUNTIFS('Resources'!$D$2:$D$530,A19,'Resources'!$B$2:$B$530,"Course")</x:f>
        <x:v>4</x:v>
      </x:c>
      <x:c r="E19" s="84" t="n">
        <x:f>COUNTIFS('Resources'!$D$2:$D$530,A19,'Resources'!$B$2:$B$530,"Talk")</x:f>
        <x:v>0</x:v>
      </x:c>
    </x:row>
    <x:row r="20">
      <x:c r="A20" s="37" t="str">
        <x:v>Deep Learning Foundations</x:v>
      </x:c>
      <x:c r="B20" s="83" t="n">
        <x:f>COUNTIF('Resources'!$D$2:$D$530,A20)</x:f>
        <x:v>13</x:v>
      </x:c>
      <x:c r="C20" s="83" t="n">
        <x:f>COUNTIFS('Resources'!$D$2:$D$530,A20,'Resources'!$B$2:$B$530,"Interview")</x:f>
        <x:v>0</x:v>
      </x:c>
      <x:c r="D20" s="83" t="n">
        <x:f>COUNTIFS('Resources'!$D$2:$D$530,A20,'Resources'!$B$2:$B$530,"Course")</x:f>
        <x:v>13</x:v>
      </x:c>
      <x:c r="E20" s="84" t="n">
        <x:f>COUNTIFS('Resources'!$D$2:$D$530,A20,'Resources'!$B$2:$B$530,"Talk")</x:f>
        <x:v>0</x:v>
      </x:c>
    </x:row>
    <x:row r="21">
      <x:c r="A21" s="37" t="str">
        <x:v>Deep Reinforcement Learning</x:v>
      </x:c>
      <x:c r="B21" s="83" t="n">
        <x:f>COUNTIF('Resources'!$D$2:$D$530,A21)</x:f>
        <x:v>5</x:v>
      </x:c>
      <x:c r="C21" s="83" t="n">
        <x:f>COUNTIFS('Resources'!$D$2:$D$530,A21,'Resources'!$B$2:$B$530,"Interview")</x:f>
        <x:v>0</x:v>
      </x:c>
      <x:c r="D21" s="83" t="n">
        <x:f>COUNTIFS('Resources'!$D$2:$D$530,A21,'Resources'!$B$2:$B$530,"Course")</x:f>
        <x:v>5</x:v>
      </x:c>
      <x:c r="E21" s="84" t="n">
        <x:f>COUNTIFS('Resources'!$D$2:$D$530,A21,'Resources'!$B$2:$B$530,"Talk")</x:f>
        <x:v>0</x:v>
      </x:c>
    </x:row>
    <x:row r="22">
      <x:c r="A22" s="37" t="str">
        <x:v>Diffusion Models / Generative AI</x:v>
      </x:c>
      <x:c r="B22" s="83" t="n">
        <x:f>COUNTIF('Resources'!$D$2:$D$530,A22)</x:f>
        <x:v>3</x:v>
      </x:c>
      <x:c r="C22" s="83" t="n">
        <x:f>COUNTIFS('Resources'!$D$2:$D$530,A22,'Resources'!$B$2:$B$530,"Interview")</x:f>
        <x:v>0</x:v>
      </x:c>
      <x:c r="D22" s="83" t="n">
        <x:f>COUNTIFS('Resources'!$D$2:$D$530,A22,'Resources'!$B$2:$B$530,"Course")</x:f>
        <x:v>0</x:v>
      </x:c>
      <x:c r="E22" s="84" t="n">
        <x:f>COUNTIFS('Resources'!$D$2:$D$530,A22,'Resources'!$B$2:$B$530,"Talk")</x:f>
        <x:v>3</x:v>
      </x:c>
    </x:row>
    <x:row r="23">
      <x:c r="A23" s="37" t="str">
        <x:v>Edge AI / TinyML</x:v>
      </x:c>
      <x:c r="B23" s="83" t="n">
        <x:f>COUNTIF('Resources'!$D$2:$D$530,A23)</x:f>
        <x:v>4</x:v>
      </x:c>
      <x:c r="C23" s="83" t="n">
        <x:f>COUNTIFS('Resources'!$D$2:$D$530,A23,'Resources'!$B$2:$B$530,"Interview")</x:f>
        <x:v>0</x:v>
      </x:c>
      <x:c r="D23" s="83" t="n">
        <x:f>COUNTIFS('Resources'!$D$2:$D$530,A23,'Resources'!$B$2:$B$530,"Course")</x:f>
        <x:v>4</x:v>
      </x:c>
      <x:c r="E23" s="84" t="n">
        <x:f>COUNTIFS('Resources'!$D$2:$D$530,A23,'Resources'!$B$2:$B$530,"Talk")</x:f>
        <x:v>0</x:v>
      </x:c>
    </x:row>
    <x:row r="24">
      <x:c r="A24" s="37" t="str">
        <x:v>Foundation Models / AI Frontiers</x:v>
      </x:c>
      <x:c r="B24" s="83" t="n">
        <x:f>COUNTIF('Resources'!$D$2:$D$530,A24)</x:f>
        <x:v>4</x:v>
      </x:c>
      <x:c r="C24" s="83" t="n">
        <x:f>COUNTIFS('Resources'!$D$2:$D$530,A24,'Resources'!$B$2:$B$530,"Interview")</x:f>
        <x:v>0</x:v>
      </x:c>
      <x:c r="D24" s="83" t="n">
        <x:f>COUNTIFS('Resources'!$D$2:$D$530,A24,'Resources'!$B$2:$B$530,"Course")</x:f>
        <x:v>0</x:v>
      </x:c>
      <x:c r="E24" s="84" t="n">
        <x:f>COUNTIFS('Resources'!$D$2:$D$530,A24,'Resources'!$B$2:$B$530,"Talk")</x:f>
        <x:v>4</x:v>
      </x:c>
    </x:row>
    <x:row r="25">
      <x:c r="A25" s="37" t="str">
        <x:v>General AI / People</x:v>
      </x:c>
      <x:c r="B25" s="83" t="n">
        <x:f>COUNTIF('Resources'!$D$2:$D$530,A25)</x:f>
        <x:v>7</x:v>
      </x:c>
      <x:c r="C25" s="83" t="n">
        <x:f>COUNTIFS('Resources'!$D$2:$D$530,A25,'Resources'!$B$2:$B$530,"Interview")</x:f>
        <x:v>7</x:v>
      </x:c>
      <x:c r="D25" s="83" t="n">
        <x:f>COUNTIFS('Resources'!$D$2:$D$530,A25,'Resources'!$B$2:$B$530,"Course")</x:f>
        <x:v>0</x:v>
      </x:c>
      <x:c r="E25" s="84" t="n">
        <x:f>COUNTIFS('Resources'!$D$2:$D$530,A25,'Resources'!$B$2:$B$530,"Talk")</x:f>
        <x:v>0</x:v>
      </x:c>
    </x:row>
    <x:row r="26">
      <x:c r="A26" s="37" t="str">
        <x:v>Generative AI / Developers</x:v>
      </x:c>
      <x:c r="B26" s="83" t="n">
        <x:f>COUNTIF('Resources'!$D$2:$D$530,A26)</x:f>
        <x:v>6</x:v>
      </x:c>
      <x:c r="C26" s="83" t="n">
        <x:f>COUNTIFS('Resources'!$D$2:$D$530,A26,'Resources'!$B$2:$B$530,"Interview")</x:f>
        <x:v>6</x:v>
      </x:c>
      <x:c r="D26" s="83" t="n">
        <x:f>COUNTIFS('Resources'!$D$2:$D$530,A26,'Resources'!$B$2:$B$530,"Course")</x:f>
        <x:v>0</x:v>
      </x:c>
      <x:c r="E26" s="84" t="n">
        <x:f>COUNTIFS('Resources'!$D$2:$D$530,A26,'Resources'!$B$2:$B$530,"Talk")</x:f>
        <x:v>0</x:v>
      </x:c>
    </x:row>
    <x:row r="27">
      <x:c r="A27" s="37" t="str">
        <x:v>Graph Machine Learning</x:v>
      </x:c>
      <x:c r="B27" s="83" t="n">
        <x:f>COUNTIF('Resources'!$D$2:$D$530,A27)</x:f>
        <x:v>3</x:v>
      </x:c>
      <x:c r="C27" s="83" t="n">
        <x:f>COUNTIFS('Resources'!$D$2:$D$530,A27,'Resources'!$B$2:$B$530,"Interview")</x:f>
        <x:v>0</x:v>
      </x:c>
      <x:c r="D27" s="83" t="n">
        <x:f>COUNTIFS('Resources'!$D$2:$D$530,A27,'Resources'!$B$2:$B$530,"Course")</x:f>
        <x:v>0</x:v>
      </x:c>
      <x:c r="E27" s="84" t="n">
        <x:f>COUNTIFS('Resources'!$D$2:$D$530,A27,'Resources'!$B$2:$B$530,"Talk")</x:f>
        <x:v>3</x:v>
      </x:c>
    </x:row>
    <x:row r="28">
      <x:c r="A28" s="37" t="str">
        <x:v>Large-Model Systems</x:v>
      </x:c>
      <x:c r="B28" s="83" t="n">
        <x:f>COUNTIF('Resources'!$D$2:$D$530,A28)</x:f>
        <x:v>3</x:v>
      </x:c>
      <x:c r="C28" s="83" t="n">
        <x:f>COUNTIFS('Resources'!$D$2:$D$530,A28,'Resources'!$B$2:$B$530,"Interview")</x:f>
        <x:v>0</x:v>
      </x:c>
      <x:c r="D28" s="83" t="n">
        <x:f>COUNTIFS('Resources'!$D$2:$D$530,A28,'Resources'!$B$2:$B$530,"Course")</x:f>
        <x:v>0</x:v>
      </x:c>
      <x:c r="E28" s="84" t="n">
        <x:f>COUNTIFS('Resources'!$D$2:$D$530,A28,'Resources'!$B$2:$B$530,"Talk")</x:f>
        <x:v>3</x:v>
      </x:c>
    </x:row>
    <x:row r="29">
      <x:c r="A29" s="37" t="str">
        <x:v>Machine Learning / Engineering Practice</x:v>
      </x:c>
      <x:c r="B29" s="83" t="n">
        <x:f>COUNTIF('Resources'!$D$2:$D$530,A29)</x:f>
        <x:v>7</x:v>
      </x:c>
      <x:c r="C29" s="83" t="n">
        <x:f>COUNTIFS('Resources'!$D$2:$D$530,A29,'Resources'!$B$2:$B$530,"Interview")</x:f>
        <x:v>7</x:v>
      </x:c>
      <x:c r="D29" s="83" t="n">
        <x:f>COUNTIFS('Resources'!$D$2:$D$530,A29,'Resources'!$B$2:$B$530,"Course")</x:f>
        <x:v>0</x:v>
      </x:c>
      <x:c r="E29" s="84" t="n">
        <x:f>COUNTIFS('Resources'!$D$2:$D$530,A29,'Resources'!$B$2:$B$530,"Talk")</x:f>
        <x:v>0</x:v>
      </x:c>
    </x:row>
    <x:row r="30">
      <x:c r="A30" s="37" t="str">
        <x:v>Machine Learning Foundations</x:v>
      </x:c>
      <x:c r="B30" s="83" t="n">
        <x:f>COUNTIF('Resources'!$D$2:$D$530,A30)</x:f>
        <x:v>5</x:v>
      </x:c>
      <x:c r="C30" s="83" t="n">
        <x:f>COUNTIFS('Resources'!$D$2:$D$530,A30,'Resources'!$B$2:$B$530,"Interview")</x:f>
        <x:v>0</x:v>
      </x:c>
      <x:c r="D30" s="83" t="n">
        <x:f>COUNTIFS('Resources'!$D$2:$D$530,A30,'Resources'!$B$2:$B$530,"Course")</x:f>
        <x:v>5</x:v>
      </x:c>
      <x:c r="E30" s="84" t="n">
        <x:f>COUNTIFS('Resources'!$D$2:$D$530,A30,'Resources'!$B$2:$B$530,"Talk")</x:f>
        <x:v>0</x:v>
      </x:c>
    </x:row>
    <x:row r="31">
      <x:c r="A31" s="37" t="str">
        <x:v>Machine Learning Frontiers</x:v>
      </x:c>
      <x:c r="B31" s="83" t="n">
        <x:f>COUNTIF('Resources'!$D$2:$D$530,A31)</x:f>
        <x:v>8</x:v>
      </x:c>
      <x:c r="C31" s="83" t="n">
        <x:f>COUNTIFS('Resources'!$D$2:$D$530,A31,'Resources'!$B$2:$B$530,"Interview")</x:f>
        <x:v>0</x:v>
      </x:c>
      <x:c r="D31" s="83" t="n">
        <x:f>COUNTIFS('Resources'!$D$2:$D$530,A31,'Resources'!$B$2:$B$530,"Course")</x:f>
        <x:v>0</x:v>
      </x:c>
      <x:c r="E31" s="84" t="n">
        <x:f>COUNTIFS('Resources'!$D$2:$D$530,A31,'Resources'!$B$2:$B$530,"Talk")</x:f>
        <x:v>8</x:v>
      </x:c>
    </x:row>
    <x:row r="32">
      <x:c r="A32" s="37" t="str">
        <x:v>Machine Learning Research</x:v>
      </x:c>
      <x:c r="B32" s="83" t="n">
        <x:f>COUNTIF('Resources'!$D$2:$D$530,A32)</x:f>
        <x:v>3</x:v>
      </x:c>
      <x:c r="C32" s="83" t="n">
        <x:f>COUNTIFS('Resources'!$D$2:$D$530,A32,'Resources'!$B$2:$B$530,"Interview")</x:f>
        <x:v>0</x:v>
      </x:c>
      <x:c r="D32" s="83" t="n">
        <x:f>COUNTIFS('Resources'!$D$2:$D$530,A32,'Resources'!$B$2:$B$530,"Course")</x:f>
        <x:v>0</x:v>
      </x:c>
      <x:c r="E32" s="84" t="n">
        <x:f>COUNTIFS('Resources'!$D$2:$D$530,A32,'Resources'!$B$2:$B$530,"Talk")</x:f>
        <x:v>3</x:v>
      </x:c>
    </x:row>
    <x:row r="33">
      <x:c r="A33" s="37" t="str">
        <x:v>MLOps / AI Product Engineering</x:v>
      </x:c>
      <x:c r="B33" s="83" t="n">
        <x:f>COUNTIF('Resources'!$D$2:$D$530,A33)</x:f>
        <x:v>5</x:v>
      </x:c>
      <x:c r="C33" s="83" t="n">
        <x:f>COUNTIFS('Resources'!$D$2:$D$530,A33,'Resources'!$B$2:$B$530,"Interview")</x:f>
        <x:v>0</x:v>
      </x:c>
      <x:c r="D33" s="83" t="n">
        <x:f>COUNTIFS('Resources'!$D$2:$D$530,A33,'Resources'!$B$2:$B$530,"Course")</x:f>
        <x:v>5</x:v>
      </x:c>
      <x:c r="E33" s="84" t="n">
        <x:f>COUNTIFS('Resources'!$D$2:$D$530,A33,'Resources'!$B$2:$B$530,"Talk")</x:f>
        <x:v>0</x:v>
      </x:c>
    </x:row>
    <x:row r="34">
      <x:c r="A34" s="37" t="str">
        <x:v>MLOps / Applied AI</x:v>
      </x:c>
      <x:c r="B34" s="83" t="n">
        <x:f>COUNTIF('Resources'!$D$2:$D$530,A34)</x:f>
        <x:v>6</x:v>
      </x:c>
      <x:c r="C34" s="83" t="n">
        <x:f>COUNTIFS('Resources'!$D$2:$D$530,A34,'Resources'!$B$2:$B$530,"Interview")</x:f>
        <x:v>6</x:v>
      </x:c>
      <x:c r="D34" s="83" t="n">
        <x:f>COUNTIFS('Resources'!$D$2:$D$530,A34,'Resources'!$B$2:$B$530,"Course")</x:f>
        <x:v>0</x:v>
      </x:c>
      <x:c r="E34" s="84" t="n">
        <x:f>COUNTIFS('Resources'!$D$2:$D$530,A34,'Resources'!$B$2:$B$530,"Talk")</x:f>
        <x:v>0</x:v>
      </x:c>
    </x:row>
    <x:row r="35">
      <x:c r="A35" s="37" t="str">
        <x:v>Multimodal Learning</x:v>
      </x:c>
      <x:c r="B35" s="83" t="n">
        <x:f>COUNTIF('Resources'!$D$2:$D$530,A35)</x:f>
        <x:v>3</x:v>
      </x:c>
      <x:c r="C35" s="83" t="n">
        <x:f>COUNTIFS('Resources'!$D$2:$D$530,A35,'Resources'!$B$2:$B$530,"Interview")</x:f>
        <x:v>0</x:v>
      </x:c>
      <x:c r="D35" s="83" t="n">
        <x:f>COUNTIFS('Resources'!$D$2:$D$530,A35,'Resources'!$B$2:$B$530,"Course")</x:f>
        <x:v>0</x:v>
      </x:c>
      <x:c r="E35" s="84" t="n">
        <x:f>COUNTIFS('Resources'!$D$2:$D$530,A35,'Resources'!$B$2:$B$530,"Talk")</x:f>
        <x:v>3</x:v>
      </x:c>
    </x:row>
    <x:row r="36">
      <x:c r="A36" s="37" t="str">
        <x:v>Natural Language Processing</x:v>
      </x:c>
      <x:c r="B36" s="83" t="n">
        <x:f>COUNTIF('Resources'!$D$2:$D$530,A36)</x:f>
        <x:v>8</x:v>
      </x:c>
      <x:c r="C36" s="83" t="n">
        <x:f>COUNTIFS('Resources'!$D$2:$D$530,A36,'Resources'!$B$2:$B$530,"Interview")</x:f>
        <x:v>0</x:v>
      </x:c>
      <x:c r="D36" s="83" t="n">
        <x:f>COUNTIFS('Resources'!$D$2:$D$530,A36,'Resources'!$B$2:$B$530,"Course")</x:f>
        <x:v>4</x:v>
      </x:c>
      <x:c r="E36" s="84" t="n">
        <x:f>COUNTIFS('Resources'!$D$2:$D$530,A36,'Resources'!$B$2:$B$530,"Talk")</x:f>
        <x:v>4</x:v>
      </x:c>
    </x:row>
    <x:row r="37">
      <x:c r="A37" s="37" t="str">
        <x:v>Natural Language Processing / Transformers</x:v>
      </x:c>
      <x:c r="B37" s="83" t="n">
        <x:f>COUNTIF('Resources'!$D$2:$D$530,A37)</x:f>
        <x:v>4</x:v>
      </x:c>
      <x:c r="C37" s="83" t="n">
        <x:f>COUNTIFS('Resources'!$D$2:$D$530,A37,'Resources'!$B$2:$B$530,"Interview")</x:f>
        <x:v>0</x:v>
      </x:c>
      <x:c r="D37" s="83" t="n">
        <x:f>COUNTIFS('Resources'!$D$2:$D$530,A37,'Resources'!$B$2:$B$530,"Course")</x:f>
        <x:v>4</x:v>
      </x:c>
      <x:c r="E37" s="84" t="n">
        <x:f>COUNTIFS('Resources'!$D$2:$D$530,A37,'Resources'!$B$2:$B$530,"Talk")</x:f>
        <x:v>0</x:v>
      </x:c>
    </x:row>
    <x:row r="38">
      <x:c r="A38" s="37" t="str">
        <x:v>Neural Network Foundations</x:v>
      </x:c>
      <x:c r="B38" s="83" t="n">
        <x:f>COUNTIF('Resources'!$D$2:$D$530,A38)</x:f>
        <x:v>5</x:v>
      </x:c>
      <x:c r="C38" s="83" t="n">
        <x:f>COUNTIFS('Resources'!$D$2:$D$530,A38,'Resources'!$B$2:$B$530,"Interview")</x:f>
        <x:v>0</x:v>
      </x:c>
      <x:c r="D38" s="83" t="n">
        <x:f>COUNTIFS('Resources'!$D$2:$D$530,A38,'Resources'!$B$2:$B$530,"Course")</x:f>
        <x:v>5</x:v>
      </x:c>
      <x:c r="E38" s="84" t="n">
        <x:f>COUNTIFS('Resources'!$D$2:$D$530,A38,'Resources'!$B$2:$B$530,"Talk")</x:f>
        <x:v>0</x:v>
      </x:c>
    </x:row>
    <x:row r="39">
      <x:c r="A39" s="37" t="str">
        <x:v>Reinforcement Learning</x:v>
      </x:c>
      <x:c r="B39" s="83" t="n">
        <x:f>COUNTIF('Resources'!$D$2:$D$530,A39)</x:f>
        <x:v>5</x:v>
      </x:c>
      <x:c r="C39" s="83" t="n">
        <x:f>COUNTIFS('Resources'!$D$2:$D$530,A39,'Resources'!$B$2:$B$530,"Interview")</x:f>
        <x:v>0</x:v>
      </x:c>
      <x:c r="D39" s="83" t="n">
        <x:f>COUNTIFS('Resources'!$D$2:$D$530,A39,'Resources'!$B$2:$B$530,"Course")</x:f>
        <x:v>5</x:v>
      </x:c>
      <x:c r="E39" s="84" t="n">
        <x:f>COUNTIFS('Resources'!$D$2:$D$530,A39,'Resources'!$B$2:$B$530,"Talk")</x:f>
        <x:v>0</x:v>
      </x:c>
    </x:row>
    <x:row r="40">
      <x:c r="A40" s="37" t="str">
        <x:v>Representation Learning / Generative Models</x:v>
      </x:c>
      <x:c r="B40" s="83" t="n">
        <x:f>COUNTIF('Resources'!$D$2:$D$530,A40)</x:f>
        <x:v>4</x:v>
      </x:c>
      <x:c r="C40" s="83" t="n">
        <x:f>COUNTIFS('Resources'!$D$2:$D$530,A40,'Resources'!$B$2:$B$530,"Interview")</x:f>
        <x:v>0</x:v>
      </x:c>
      <x:c r="D40" s="83" t="n">
        <x:f>COUNTIFS('Resources'!$D$2:$D$530,A40,'Resources'!$B$2:$B$530,"Course")</x:f>
        <x:v>0</x:v>
      </x:c>
      <x:c r="E40" s="84" t="n">
        <x:f>COUNTIFS('Resources'!$D$2:$D$530,A40,'Resources'!$B$2:$B$530,"Talk")</x:f>
        <x:v>4</x:v>
      </x:c>
    </x:row>
    <x:row r="41">
      <x:c r="A41" s="37" t="str">
        <x:v>Robotics</x:v>
      </x:c>
      <x:c r="B41" s="83" t="n">
        <x:f>COUNTIF('Resources'!$D$2:$D$530,A41)</x:f>
        <x:v>42</x:v>
      </x:c>
      <x:c r="C41" s="83" t="n">
        <x:f>COUNTIFS('Resources'!$D$2:$D$530,A41,'Resources'!$B$2:$B$530,"Interview")</x:f>
        <x:v>14</x:v>
      </x:c>
      <x:c r="D41" s="83" t="n">
        <x:f>COUNTIFS('Resources'!$D$2:$D$530,A41,'Resources'!$B$2:$B$530,"Course")</x:f>
        <x:v>14</x:v>
      </x:c>
      <x:c r="E41" s="84" t="n">
        <x:f>COUNTIFS('Resources'!$D$2:$D$530,A41,'Resources'!$B$2:$B$530,"Talk")</x:f>
        <x:v>14</x:v>
      </x:c>
    </x:row>
    <x:row r="42">
      <x:c r="A42" s="37" t="str">
        <x:v>Robotics / Embodied AI</x:v>
      </x:c>
      <x:c r="B42" s="83" t="n">
        <x:f>COUNTIF('Resources'!$D$2:$D$530,A42)</x:f>
        <x:v>67</x:v>
      </x:c>
      <x:c r="C42" s="83" t="n">
        <x:f>COUNTIFS('Resources'!$D$2:$D$530,A42,'Resources'!$B$2:$B$530,"Interview")</x:f>
        <x:v>12</x:v>
      </x:c>
      <x:c r="D42" s="83" t="n">
        <x:f>COUNTIFS('Resources'!$D$2:$D$530,A42,'Resources'!$B$2:$B$530,"Course")</x:f>
        <x:v>19</x:v>
      </x:c>
      <x:c r="E42" s="84" t="n">
        <x:f>COUNTIFS('Resources'!$D$2:$D$530,A42,'Resources'!$B$2:$B$530,"Talk")</x:f>
        <x:v>36</x:v>
      </x:c>
    </x:row>
    <x:row r="43">
      <x:c r="A43" s="37" t="str">
        <x:v>Transformers / Large Models</x:v>
      </x:c>
      <x:c r="B43" s="83" t="n">
        <x:f>COUNTIF('Resources'!$D$2:$D$530,A43)</x:f>
        <x:v>5</x:v>
      </x:c>
      <x:c r="C43" s="83" t="n">
        <x:f>COUNTIFS('Resources'!$D$2:$D$530,A43,'Resources'!$B$2:$B$530,"Interview")</x:f>
        <x:v>0</x:v>
      </x:c>
      <x:c r="D43" s="83" t="n">
        <x:f>COUNTIFS('Resources'!$D$2:$D$530,A43,'Resources'!$B$2:$B$530,"Course")</x:f>
        <x:v>5</x:v>
      </x:c>
      <x:c r="E43" s="84" t="n">
        <x:f>COUNTIFS('Resources'!$D$2:$D$530,A43,'Resources'!$B$2:$B$530,"Talk")</x:f>
        <x:v>0</x:v>
      </x:c>
    </x:row>
    <x:row r="44">
      <x:c r="A44" s="37" t="str">
        <x:v>Trustworthy AI / Safety</x:v>
      </x:c>
      <x:c r="B44" s="83" t="n">
        <x:f>COUNTIF('Resources'!$D$2:$D$530,A44)</x:f>
        <x:v>3</x:v>
      </x:c>
      <x:c r="C44" s="83" t="n">
        <x:f>COUNTIFS('Resources'!$D$2:$D$530,A44,'Resources'!$B$2:$B$530,"Interview")</x:f>
        <x:v>0</x:v>
      </x:c>
      <x:c r="D44" s="83" t="n">
        <x:f>COUNTIFS('Resources'!$D$2:$D$530,A44,'Resources'!$B$2:$B$530,"Course")</x:f>
        <x:v>0</x:v>
      </x:c>
      <x:c r="E44" s="84" t="n">
        <x:f>COUNTIFS('Resources'!$D$2:$D$530,A44,'Resources'!$B$2:$B$530,"Talk")</x:f>
        <x:v>3</x:v>
      </x:c>
    </x:row>
    <x:row r="45">
      <x:c r="A45" s="37" t="str">
        <x:v>Vision</x:v>
      </x:c>
      <x:c r="B45" s="83" t="n">
        <x:f>COUNTIF('Resources'!$D$2:$D$530,A45)</x:f>
        <x:v>39</x:v>
      </x:c>
      <x:c r="C45" s="83" t="n">
        <x:f>COUNTIFS('Resources'!$D$2:$D$530,A45,'Resources'!$B$2:$B$530,"Interview")</x:f>
        <x:v>11</x:v>
      </x:c>
      <x:c r="D45" s="83" t="n">
        <x:f>COUNTIFS('Resources'!$D$2:$D$530,A45,'Resources'!$B$2:$B$530,"Course")</x:f>
        <x:v>14</x:v>
      </x:c>
      <x:c r="E45" s="84" t="n">
        <x:f>COUNTIFS('Resources'!$D$2:$D$530,A45,'Resources'!$B$2:$B$530,"Talk")</x:f>
        <x:v>14</x:v>
      </x:c>
    </x:row>
    <x:row r="46">
      <x:c r="A46" s="37" t="str">
        <x:v>World Models</x:v>
      </x:c>
      <x:c r="B46" s="83" t="n">
        <x:f>COUNTIF('Resources'!$D$2:$D$530,A46)</x:f>
        <x:v>34</x:v>
      </x:c>
      <x:c r="C46" s="83" t="n">
        <x:f>COUNTIFS('Resources'!$D$2:$D$530,A46,'Resources'!$B$2:$B$530,"Interview")</x:f>
        <x:v>8</x:v>
      </x:c>
      <x:c r="D46" s="83" t="n">
        <x:f>COUNTIFS('Resources'!$D$2:$D$530,A46,'Resources'!$B$2:$B$530,"Course")</x:f>
        <x:v>14</x:v>
      </x:c>
      <x:c r="E46" s="84" t="n">
        <x:f>COUNTIFS('Resources'!$D$2:$D$530,A46,'Resources'!$B$2:$B$530,"Talk")</x:f>
        <x:v>12</x:v>
      </x:c>
    </x:row>
    <x:row r="47">
      <x:c r="A47" s="40" t="str">
        <x:v>World Models / Predictive Intelligence</x:v>
      </x:c>
      <x:c r="B47" s="85" t="n">
        <x:f>COUNTIF('Resources'!$D$2:$D$530,A47)</x:f>
        <x:v>20</x:v>
      </x:c>
      <x:c r="C47" s="85" t="n">
        <x:f>COUNTIFS('Resources'!$D$2:$D$530,A47,'Resources'!$B$2:$B$530,"Interview")</x:f>
        <x:v>2</x:v>
      </x:c>
      <x:c r="D47" s="85" t="n">
        <x:f>COUNTIFS('Resources'!$D$2:$D$530,A47,'Resources'!$B$2:$B$530,"Course")</x:f>
        <x:v>8</x:v>
      </x:c>
      <x:c r="E47" s="86" t="n">
        <x:f>COUNTIFS('Resources'!$D$2:$D$530,A47,'Resources'!$B$2:$B$530,"Talk")</x:f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911563c7685d429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19" t="str">
        <x:v>Field Guide and Editorial Standards</x:v>
      </x:c>
      <x:c r="B1" s="119" t="str">
        <x:v>Field Guide and Editorial Standards</x:v>
      </x:c>
      <x:c r="C1" s="119" t="str">
        <x:v>Field Guide and Editorial Standards</x:v>
      </x:c>
      <x:c r="D1" s="119" t="str">
        <x:v>Field Guide and Editorial Standards</x:v>
      </x:c>
    </x:row>
    <x:row r="3" ht="28" customHeight="1">
      <x:c r="A3" s="33" t="str">
        <x:v>Field</x:v>
      </x:c>
      <x:c r="B3" s="33" t="str">
        <x:v>Definition</x:v>
      </x:c>
      <x:c r="C3" s="33" t="str">
        <x:v>Frontend / Data Use</x:v>
      </x:c>
      <x:c r="D3" s="33" t="str">
        <x:v>Maintenance Guidance</x:v>
      </x:c>
    </x:row>
    <x:row r="4" ht="48" customHeight="1">
      <x:c r="A4" s="129" t="str">
        <x:v>Section</x:v>
      </x:c>
      <x:c r="B4" s="130" t="str">
        <x:v>Interview / Course / Talk</x:v>
      </x:c>
      <x:c r="C4" s="130" t="str">
        <x:v>Primary navigation and section pages</x:v>
      </x:c>
      <x:c r="D4" s="131" t="str">
        <x:v>Keep the three-value enumeration; classify edge cases by the primary viewing experience.</x:v>
      </x:c>
    </x:row>
    <x:row r="5" ht="48" customHeight="1">
      <x:c r="A5" s="132" t="str">
        <x:v>Priority Area</x:v>
      </x:c>
      <x:c r="B5" s="133" t="str">
        <x:v>World Model / Agent / Vision / Robotics / Other</x:v>
      </x:c>
      <x:c r="C5" s="133" t="str">
        <x:v>Default filters and four priority collections</x:v>
      </x:c>
      <x:c r="D5" s="134" t="str">
        <x:v>Assign one primary area per resource; place cross-cutting concepts in keywords.</x:v>
      </x:c>
    </x:row>
    <x:row r="6" ht="48" customHeight="1">
      <x:c r="A6" s="132" t="str">
        <x:v>AI Domain</x:v>
      </x:c>
      <x:c r="B6" s="133" t="str">
        <x:v>A finer-grained, relatively stable topic label</x:v>
      </x:c>
      <x:c r="C6" s="133" t="str">
        <x:v>Secondary filters and topic pages</x:v>
      </x:c>
      <x:c r="D6" s="134" t="str">
        <x:v>Reuse the Domain Index to avoid synonym sprawl.</x:v>
      </x:c>
    </x:row>
    <x:row r="7" ht="48" customHeight="1">
      <x:c r="A7" s="132" t="str">
        <x:v>Topics / Keywords</x:v>
      </x:c>
      <x:c r="B7" s="133" t="str">
        <x:v>Multi-value tags derived from the title and topic</x:v>
      </x:c>
      <x:c r="C7" s="133" t="str">
        <x:v>Search and related recommendations</x:v>
      </x:c>
      <x:c r="D7" s="134" t="str">
        <x:v>Editors may add tags; separate them with semicolons.</x:v>
      </x:c>
    </x:row>
    <x:row r="8" ht="48" customHeight="1">
      <x:c r="A8" s="132" t="str">
        <x:v>Speaker / Guest / Instructor</x:v>
      </x:c>
      <x:c r="B8" s="133" t="str">
        <x:v>Primary on-screen speaker or instructor</x:v>
      </x:c>
      <x:c r="C8" s="133" t="str">
        <x:v>People pages and related content</x:v>
      </x:c>
      <x:c r="D8" s="134" t="str">
        <x:v>“To be added” means the metadata could not be identified reliably.</x:v>
      </x:c>
    </x:row>
    <x:row r="9" ht="48" customHeight="1">
      <x:c r="A9" s="132" t="str">
        <x:v>Video URL</x:v>
      </x:c>
      <x:c r="B9" s="133" t="str">
        <x:v>Original URL linking directly to one video</x:v>
      </x:c>
      <x:c r="C9" s="133" t="str">
        <x:v>Playback navigation</x:v>
      </x:c>
      <x:c r="D9" s="134" t="str">
        <x:v>Check periodically for broken links, regional restrictions, and removals.</x:v>
      </x:c>
    </x:row>
    <x:row r="10" ht="48" customHeight="1">
      <x:c r="A10" s="132" t="str">
        <x:v>Source Tier</x:v>
      </x:c>
      <x:c r="B10" s="133" t="str">
        <x:v>A: official/original creator; B: university/conference/institution; C: community selection</x:v>
      </x:c>
      <x:c r="C10" s="133" t="str">
        <x:v>Quality ranking and review queue</x:v>
      </x:c>
      <x:c r="D10" s="134" t="str">
        <x:v>Review copyright and provenance manually before publishing Tier C content.</x:v>
      </x:c>
    </x:row>
    <x:row r="11" ht="48" customHeight="1">
      <x:c r="A11" s="132" t="str">
        <x:v>Recommendation</x:v>
      </x:c>
      <x:c r="B11" s="133" t="str">
        <x:v>Core / Recommended / Reserve</x:v>
      </x:c>
      <x:c r="C11" s="133" t="str">
        <x:v>Default ranking and homepage recommendations</x:v>
      </x:c>
      <x:c r="D11" s="134" t="str">
        <x:v>Core resources should prioritize Tier A sources and high relevance.</x:v>
      </x:c>
    </x:row>
    <x:row r="12" ht="48" customHeight="1">
      <x:c r="A12" s="132" t="str">
        <x:v>Link Status</x:v>
      </x:c>
      <x:c r="B12" s="133" t="str">
        <x:v>Verified / Pending Verification / Periodic Review / Inactive</x:v>
      </x:c>
      <x:c r="C12" s="133" t="str">
        <x:v>Operational review</x:v>
      </x:c>
      <x:c r="D12" s="134" t="str">
        <x:v>This batch was verified against public metadata on 2026-08-12.</x:v>
      </x:c>
    </x:row>
    <x:row r="13" ht="48" customHeight="1">
      <x:c r="A13" s="132" t="str">
        <x:v>Views (at collection)</x:v>
      </x:c>
      <x:c r="B13" s="133" t="str">
        <x:v>Dynamic snapshot at collection time</x:v>
      </x:c>
      <x:c r="C13" s="133" t="str">
        <x:v>Popularity reference</x:v>
      </x:c>
      <x:c r="D13" s="134" t="str">
        <x:v>Not a permanent metric; do not use it as the sole quality signal.</x:v>
      </x:c>
    </x:row>
    <x:row r="14" ht="48" customHeight="1">
      <x:c r="A14" s="135" t="str">
        <x:v>Language</x:v>
      </x:c>
      <x:c r="B14" s="136" t="str">
        <x:v>Label by the primary spoken language of the video</x:v>
      </x:c>
      <x:c r="C14" s="136" t="str">
        <x:v>Language filter</x:v>
      </x:c>
      <x:c r="D14" s="137" t="str">
        <x:v>Add subtitle language as a separate field later.</x:v>
      </x:c>
    </x:row>
    <x:row r="16" ht="28" customHeight="1">
      <x:c r="A16" s="139" t="str">
        <x:v>Initial Inclusion Principles</x:v>
      </x:c>
      <x:c r="B16" s="139" t="str">
        <x:v>Initial Inclusion Principles</x:v>
      </x:c>
      <x:c r="C16" s="139" t="str">
        <x:v>Initial Inclusion Principles</x:v>
      </x:c>
      <x:c r="D16" s="139" t="str">
        <x:v>Initial Inclusion Principles</x:v>
      </x:c>
    </x:row>
    <x:row r="17" ht="34" customHeight="1">
      <x:c r="A17" s="129" t="str">
        <x:v>1</x:v>
      </x:c>
      <x:c r="B17" s="130" t="str">
        <x:v>Include only AI-related educational video content; each row represents one directly linked video.</x:v>
      </x:c>
      <x:c r="C17" s="130" t="str"/>
      <x:c r="D17" s="131" t="str"/>
    </x:row>
    <x:row r="18" ht="34" customHeight="1">
      <x:c r="A18" s="132" t="str">
        <x:v>2</x:v>
      </x:c>
      <x:c r="B18" s="133" t="str">
        <x:v>Prioritize university courses, academic conferences, research institutions, original creators, and established interview programs.</x:v>
      </x:c>
      <x:c r="C18" s="133" t="str"/>
      <x:c r="D18" s="134" t="str"/>
    </x:row>
    <x:row r="19" ht="34" customHeight="1">
      <x:c r="A19" s="132" t="str">
        <x:v>3</x:v>
      </x:c>
      <x:c r="B19" s="133" t="str">
        <x:v>Multiple lectures from the same course are allowed; titles, links, and video IDs must remain unique.</x:v>
      </x:c>
      <x:c r="C19" s="133" t="str"/>
      <x:c r="D19" s="134" t="str"/>
    </x:row>
    <x:row r="20" ht="34" customHeight="1">
      <x:c r="A20" s="132" t="str">
        <x:v>4</x:v>
      </x:c>
      <x:c r="B20" s="133" t="str">
        <x:v>Views and recommendation levels are for initial screening only; sample-watch resources and add editorial notes before launch.</x:v>
      </x:c>
      <x:c r="C20" s="133" t="str"/>
      <x:c r="D20" s="134" t="str"/>
    </x:row>
    <x:row r="21" ht="34" customHeight="1">
      <x:c r="A21" s="135" t="str">
        <x:v>5</x:v>
      </x:c>
      <x:c r="B21" s="136" t="str">
        <x:v>YouTube and Bilibili are included. Add Xiaohongshu resources with the same schema after account verification and sign-in.</x:v>
      </x:c>
      <x:c r="C21" s="136" t="str"/>
      <x:c r="D21" s="137" t="str"/>
    </x:row>
  </x:sheetData>
  <x:mergeCells>
    <x:mergeCell ref="A1:D1"/>
    <x:mergeCell ref="A16:D16"/>
    <x:mergeCell ref="B17:D17"/>
    <x:mergeCell ref="B18:D18"/>
    <x:mergeCell ref="B19:D19"/>
    <x:mergeCell ref="B20:D20"/>
    <x:mergeCell ref="B21:D21"/>
  </x:mergeCells>
  <x:pageMargins left="0.7" right="0.7" top="0.75" bottom="0.75" header="0.3" footer="0.3"/>
</x:worksheet>
</file>