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0ee4cf75ee46f5" /></Relationships>
</file>

<file path=xl/workbook.xml><?xml version="1.0" encoding="utf-8"?>
<x:workbook xmlns:x="http://schemas.openxmlformats.org/spreadsheetml/2006/main">
  <x:sheets>
    <x:sheet xmlns:r="http://schemas.openxmlformats.org/officeDocument/2006/relationships" name="Overview" sheetId="1" r:id="R67863b77e9a548ea"/>
    <x:sheet xmlns:r="http://schemas.openxmlformats.org/officeDocument/2006/relationships" name="Resources" sheetId="2" r:id="Rfa4d8d8e8d954e45"/>
    <x:sheet xmlns:r="http://schemas.openxmlformats.org/officeDocument/2006/relationships" name="Priority Areas" sheetId="3" r:id="R07521e2e9cf3429f"/>
    <x:sheet xmlns:r="http://schemas.openxmlformats.org/officeDocument/2006/relationships" name="Domain Index" sheetId="4" r:id="Rf0d3b3d2a9b6465a"/>
    <x:sheet xmlns:r="http://schemas.openxmlformats.org/officeDocument/2006/relationships" name="Field Guide" sheetId="5" r:id="R8489bd126de842e1"/>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
    <x:numFmt numFmtId="202" formatCode="yyyy-mm-dd"/>
    <x:numFmt numFmtId="203" formatCode="0.##"/>
    <x:numFmt numFmtId="204" formatCode="0.0%"/>
    <x:numFmt numFmtId="205" formatCode="0.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2">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60">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xf numFmtId="0" fontId="16" fillId="100" borderId="4" xfId="0" applyNumberFormat="1" applyFont="1" applyFill="1" applyBorder="1" applyAlignment="1">
      <x:alignment horizontal="left"/>
    </x:xf>
    <x:xf numFmtId="200" fontId="16" fillId="100" borderId="5" xfId="0" applyNumberFormat="1" applyFont="1" applyFill="1" applyBorder="1" applyAlignment="1">
      <x:alignment horizontal="center"/>
    </x:xf>
    <x:xf numFmtId="200" fontId="16" fillId="100" borderId="6" xfId="0" applyNumberFormat="1" applyFont="1" applyFill="1" applyBorder="1" applyAlignment="1">
      <x:alignment horizontal="center"/>
    </x:xf>
    <x:xf numFmtId="0" fontId="16" fillId="101" borderId="7" xfId="0" applyNumberFormat="1" applyFont="1" applyFill="1" applyBorder="1" applyAlignment="1">
      <x:alignment horizontal="left"/>
    </x:xf>
    <x:xf numFmtId="200" fontId="16" fillId="101" borderId="8" xfId="0" applyNumberFormat="1" applyFont="1" applyFill="1" applyBorder="1" applyAlignment="1">
      <x:alignment horizontal="center"/>
    </x:xf>
    <x:xf numFmtId="200" fontId="16" fillId="101" borderId="9" xfId="0" applyNumberFormat="1" applyFont="1" applyFill="1" applyBorder="1" applyAlignment="1">
      <x:alignment horizontal="center"/>
    </x:xf>
    <x:xf numFmtId="0" fontId="16" fillId="100" borderId="7" xfId="0" applyNumberFormat="1" applyFont="1" applyFill="1" applyBorder="1" applyAlignment="1">
      <x:alignment horizontal="left"/>
    </x:xf>
    <x:xf numFmtId="200" fontId="16" fillId="100" borderId="8" xfId="0" applyNumberFormat="1" applyFont="1" applyFill="1" applyBorder="1" applyAlignment="1">
      <x:alignment horizontal="center"/>
    </x:xf>
    <x:xf numFmtId="200" fontId="16" fillId="100" borderId="9" xfId="0" applyNumberFormat="1" applyFont="1" applyFill="1" applyBorder="1" applyAlignment="1">
      <x:alignment horizontal="center"/>
    </x:xf>
    <x:xf numFmtId="0" fontId="16" fillId="101" borderId="10" xfId="0" applyNumberFormat="1" applyFont="1" applyFill="1" applyBorder="1" applyAlignment="1">
      <x:alignment horizontal="left"/>
    </x:xf>
    <x:xf numFmtId="200" fontId="16" fillId="101" borderId="11" xfId="0" applyNumberFormat="1" applyFont="1" applyFill="1" applyBorder="1" applyAlignment="1">
      <x:alignment horizontal="center"/>
    </x:xf>
    <x:xf numFmtId="200" fontId="16" fillId="101" borderId="12" xfId="0" applyNumberFormat="1" applyFont="1" applyFill="1" applyBorder="1" applyAlignment="1">
      <x:alignment horizontal="center"/>
    </x:xf>
    <x:xf numFmtId="0" fontId="17" fillId="100" borderId="0" xfId="0" applyNumberFormat="1" applyFont="1" applyFill="1" applyBorder="1" applyAlignment="1">
      <x:alignment horizontal="left"/>
    </x:xf>
    <x:xf numFmtId="0" fontId="17" fillId="100" borderId="0" xfId="0" applyNumberFormat="1" applyFont="1" applyFill="1" applyBorder="1" applyAlignment="1">
      <x:alignment horizontal="center"/>
    </x:xf>
    <x:xf numFmtId="0" fontId="17" fillId="101" borderId="0" xfId="0" applyNumberFormat="1" applyFont="1" applyFill="1" applyBorder="1" applyAlignment="1">
      <x:alignment horizontal="left"/>
    </x:xf>
    <x:xf numFmtId="0" fontId="17" fillId="101" borderId="0" xfId="0" applyNumberFormat="1" applyFont="1" applyFill="1" applyBorder="1" applyAlignment="1">
      <x:alignment horizontal="center"/>
    </x:xf>
    <x:xf numFmtId="205" fontId="1" fillId="0"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center"/>
    </x:xf>
    <x:xf numFmtId="205" fontId="0" fillId="0" borderId="0" xfId="0" applyNumberFormat="1" applyFont="1" applyFill="1" applyBorder="1"/>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5" fontId="0" fillId="0" borderId="0" xfId="0" applyNumberFormat="1" applyFont="1" applyFill="1" applyBorder="1" applyAlignment="1">
      <x:alignment wrapText="1"/>
    </x:xf>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a67e8fe73b24971" /><Relationship Type="http://schemas.openxmlformats.org/officeDocument/2006/relationships/theme" Target="/xl/theme/theme1.xml" Id="Rce3823a4c6204124" /><Relationship Type="http://schemas.openxmlformats.org/officeDocument/2006/relationships/sharedStrings" Target="/xl/sharedStrings.xml" Id="R99111be178dd47c7" /><Relationship Type="http://schemas.openxmlformats.org/officeDocument/2006/relationships/worksheet" Target="/xl/worksheets/sheet1.xml" Id="R67863b77e9a548ea" /><Relationship Type="http://schemas.openxmlformats.org/officeDocument/2006/relationships/worksheet" Target="/xl/worksheets/sheet2.xml" Id="Rfa4d8d8e8d954e45" /><Relationship Type="http://schemas.openxmlformats.org/officeDocument/2006/relationships/worksheet" Target="/xl/worksheets/sheet3.xml" Id="R07521e2e9cf3429f" /><Relationship Type="http://schemas.openxmlformats.org/officeDocument/2006/relationships/worksheet" Target="/xl/worksheets/sheet4.xml" Id="Rf0d3b3d2a9b6465a" /><Relationship Type="http://schemas.openxmlformats.org/officeDocument/2006/relationships/worksheet" Target="/xl/worksheets/sheet5.xml" Id="R8489bd126de842e1" /></Relationships>
</file>

<file path=xl/tables/table1.xml><?xml version="1.0" encoding="utf-8"?>
<x:table xmlns:x="http://schemas.openxmlformats.org/spreadsheetml/2006/main" id="4" name="ScholarTubeResources" displayName="ScholarTubeResources" ref="A1:W1402" headerRowCount="1" totalsRowCount="0" totalsRowShown="0">
  <x:autoFilter ref="A1:W1402"/>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1e1ef635e7e486a" /></Relationships>
</file>

<file path=xl/worksheets/_rels/sheet3.xml.rels>&#65279;<?xml version="1.0" encoding="utf-8"?><Relationships xmlns="http://schemas.openxmlformats.org/package/2006/relationships"><Relationship Type="http://schemas.openxmlformats.org/officeDocument/2006/relationships/table" Target="/xl/tables/table2.xml" Id="R7442428175064c20" /></Relationships>
</file>

<file path=xl/worksheets/_rels/sheet4.xml.rels>&#65279;<?xml version="1.0" encoding="utf-8"?><Relationships xmlns="http://schemas.openxmlformats.org/package/2006/relationships"><Relationship Type="http://schemas.openxmlformats.org/officeDocument/2006/relationships/table" Target="/xl/tables/table3.xml" Id="Rd7517a41ca724f93"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1401 direct videos · 903 focused-direction resources · 101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COUNTA('Resources'!$A$2:$A$1402)</x:f>
        <x:v>1401</x:v>
      </x:c>
      <x:c r="B5" s="96"/>
      <x:c r="D5" s="95" t="n">
        <x:f>COUNTIF('Resources'!$B$2:$B$1402,D4)</x:f>
        <x:v>277</x:v>
      </x:c>
      <x:c r="E5" s="96"/>
      <x:c r="G5" s="95" t="n">
        <x:f>COUNTIF('Resources'!$B$2:$B$1402,G4)</x:f>
        <x:v>695</x:v>
      </x:c>
      <x:c r="H5" s="96"/>
      <x:c r="J5" s="95" t="n">
        <x:f>COUNTIF('Resources'!$B$2:$B$1402,J4)</x:f>
        <x:v>429</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COUNTIF('Resources'!$O$2:$O$1402,"A | Official / Original Creator / Organizer")</x:f>
        <x:v>1024</x:v>
      </x:c>
      <x:c r="B8" s="96"/>
      <x:c r="D8" s="95" t="n">
        <x:f>COUNTIF('Resources'!$C$2:$C$1402,"&lt;&gt;Other")</x:f>
        <x:v>903</x:v>
      </x:c>
      <x:c r="E8" s="96"/>
      <x:c r="G8" s="95" t="n">
        <x:f>COUNTIF('Resources'!$F$2:$F$1402,"Chinese")</x:f>
        <x:v>259</x:v>
      </x:c>
      <x:c r="H8" s="96"/>
      <x:c r="J8" s="95" t="n">
        <x:f>COUNTIF('Resources'!$Q$2:$Q$1402,"Verified")</x:f>
        <x:v>1373</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COUNTIF('Resources'!$D$2:$D$1402,A13)</x:f>
        <x:v>212</x:v>
      </x:c>
      <x:c r="C13" s="108" t="n">
        <x:f>B13/$A$5</x:f>
        <x:v>0.15132048536759457</x:v>
      </x:c>
      <x:c r="E13" s="36" t="str">
        <x:v>Stanford Online</x:v>
      </x:c>
      <x:c r="F13" s="78" t="n">
        <x:f>COUNTIF('Resources'!$I$2:$I$1402,E13)</x:f>
        <x:v>197</x:v>
      </x:c>
      <x:c r="H13" s="36" t="str">
        <x:v>A | Official / Original Creator / Organizer</x:v>
      </x:c>
      <x:c r="I13" s="78" t="n">
        <x:f>COUNTIF('Resources'!$O$2:$O$1402,"A | Official / Original Creator / Organizer")</x:f>
        <x:v>1024</x:v>
      </x:c>
      <x:c r="J13" s="36" t="str">
        <x:v>YouTube</x:v>
      </x:c>
      <x:c r="K13" s="78" t="n">
        <x:f>COUNTIF('Resources'!$M$2:$M$1402,J13)</x:f>
        <x:v>1055</x:v>
      </x:c>
    </x:row>
    <x:row r="14" ht="26" customHeight="1">
      <x:c r="A14" s="125" t="str">
        <x:v>Agents / Tool Use / Reasoning</x:v>
      </x:c>
      <x:c r="B14" s="85" t="n">
        <x:f>COUNTIF('Resources'!$D$2:$D$1402,A14)</x:f>
        <x:v>190</x:v>
      </x:c>
      <x:c r="C14" s="109" t="n">
        <x:f>B14/$A$5</x:f>
        <x:v>0.13561741613133477</x:v>
      </x:c>
      <x:c r="E14" s="39" t="str">
        <x:v>MIT OpenCourseWare</x:v>
      </x:c>
      <x:c r="F14" s="80" t="n">
        <x:f>COUNTIF('Resources'!$I$2:$I$1402,E14)</x:f>
        <x:v>38</x:v>
      </x:c>
      <x:c r="H14" s="39" t="str">
        <x:v>B | University / Conference / Institution</x:v>
      </x:c>
      <x:c r="I14" s="80" t="n">
        <x:f>COUNTIF('Resources'!$O$2:$O$1402,"B | University / Conference / Institution")</x:f>
        <x:v>212</x:v>
      </x:c>
      <x:c r="J14" s="39" t="str">
        <x:v>Bilibili</x:v>
      </x:c>
      <x:c r="K14" s="80" t="n">
        <x:f>COUNTIF('Resources'!$M$2:$M$1402,J14)</x:f>
        <x:v>249</x:v>
      </x:c>
    </x:row>
    <x:row r="15" ht="26" customHeight="1">
      <x:c r="A15" s="125" t="str">
        <x:v>World Models / Predictive Intelligence</x:v>
      </x:c>
      <x:c r="B15" s="85" t="n">
        <x:f>COUNTIF('Resources'!$D$2:$D$1402,A15)</x:f>
        <x:v>86</x:v>
      </x:c>
      <x:c r="C15" s="109" t="n">
        <x:f>B15/$A$5</x:f>
        <x:v>0.06138472519628837</x:v>
      </x:c>
      <x:c r="E15" s="39" t="str">
        <x:v>NeurIPS</x:v>
      </x:c>
      <x:c r="F15" s="80" t="n">
        <x:f>COUNTIF('Resources'!$I$2:$I$1402,E15)</x:f>
        <x:v>35</x:v>
      </x:c>
      <x:c r="H15" s="42" t="str">
        <x:v>C | Community Selection</x:v>
      </x:c>
      <x:c r="I15" s="82" t="n">
        <x:f>COUNTIF('Resources'!$O$2:$O$1402,"C | Community Selection")</x:f>
        <x:v>75</x:v>
      </x:c>
      <x:c r="J15" s="42" t="str">
        <x:v>Conference Site</x:v>
      </x:c>
      <x:c r="K15" s="82" t="n">
        <x:f>COUNTIF('Resources'!$M$2:$M$1402,J15)</x:f>
        <x:v>84</x:v>
      </x:c>
    </x:row>
    <x:row r="16" ht="26" customHeight="1">
      <x:c r="A16" s="125" t="str">
        <x:v>Deep Learning Foundations</x:v>
      </x:c>
      <x:c r="B16" s="85" t="n">
        <x:f>COUNTIF('Resources'!$D$2:$D$1402,A16)</x:f>
        <x:v>77</x:v>
      </x:c>
      <x:c r="C16" s="109" t="n">
        <x:f>B16/$A$5</x:f>
        <x:v>0.054960742326909354</x:v>
      </x:c>
      <x:c r="E16" s="39" t="str">
        <x:v>张小珺商业访谈录</x:v>
      </x:c>
      <x:c r="F16" s="80" t="n">
        <x:f>COUNTIF('Resources'!$I$2:$I$1402,E16)</x:f>
        <x:v>34</x:v>
      </x:c>
      <x:c r="J16" t="str">
        <x:v>Official Site</x:v>
      </x:c>
      <x:c r="K16" t="n">
        <x:f>COUNTIF('Resources'!$M$2:$M$1402,J16)</x:f>
        <x:v>13</x:v>
      </x:c>
    </x:row>
    <x:row r="17" ht="26" customHeight="1">
      <x:c r="A17" s="125" t="str">
        <x:v>Computer Vision</x:v>
      </x:c>
      <x:c r="B17" s="85" t="n">
        <x:f>COUNTIF('Resources'!$D$2:$D$1402,A17)</x:f>
        <x:v>63</x:v>
      </x:c>
      <x:c r="C17" s="109" t="n">
        <x:f>B17/$A$5</x:f>
        <x:v>0.044967880085653104</x:v>
      </x:c>
      <x:c r="E17" s="39" t="str">
        <x:v>Hamming on Hamming: Learning to Learn</x:v>
      </x:c>
      <x:c r="F17" s="80" t="n">
        <x:f>COUNTIF('Resources'!$I$2:$I$1402,E17)</x:f>
        <x:v>31</x:v>
      </x:c>
    </x:row>
    <x:row r="18" ht="26" customHeight="1">
      <x:c r="A18" s="125" t="str">
        <x:v>Computer Vision / 3D Vision</x:v>
      </x:c>
      <x:c r="B18" s="85" t="n">
        <x:f>COUNTIF('Resources'!$D$2:$D$1402,A18)</x:f>
        <x:v>52</x:v>
      </x:c>
      <x:c r="C18" s="109" t="n">
        <x:f>B18/$A$5</x:f>
        <x:v>0.037116345467523196</x:v>
      </x:c>
      <x:c r="E18" s="39" t="str">
        <x:v>Carnegie Mellon University Deep Learning</x:v>
      </x:c>
      <x:c r="F18" s="80" t="n">
        <x:f>COUNTIF('Resources'!$I$2:$I$1402,E18)</x:f>
        <x:v>26</x:v>
      </x:c>
      <x:c r="H18" s="73" t="str">
        <x:v>72 course series (527 videos → 240 entries) · 29 interview series (196 videos → 110 entries)</x:v>
      </x:c>
      <x:c r="I18" s="73"/>
      <x:c r="J18" s="73"/>
      <x:c r="K18" s="73"/>
      <x:c r="L18" s="73"/>
    </x:row>
    <x:row r="19" ht="26" customHeight="1">
      <x:c r="A19" s="125" t="str">
        <x:v>AI Research Frontiers</x:v>
      </x:c>
      <x:c r="B19" s="85" t="n">
        <x:f>COUNTIF('Resources'!$D$2:$D$1402,A19)</x:f>
        <x:v>46</x:v>
      </x:c>
      <x:c r="C19" s="109" t="n">
        <x:f>B19/$A$5</x:f>
        <x:v>0.03283369022127052</x:v>
      </x:c>
      <x:c r="E19" s="39" t="str">
        <x:v>underactuated</x:v>
      </x:c>
      <x:c r="F19" s="80" t="n">
        <x:f>COUNTIF('Resources'!$I$2:$I$1402,E19)</x:f>
        <x:v>25</x:v>
      </x:c>
    </x:row>
    <x:row r="20" ht="26" customHeight="1">
      <x:c r="A20" s="125" t="str">
        <x:v>Mathematical Foundations for AI / Matrix Methods</x:v>
      </x:c>
      <x:c r="B20" s="85" t="n">
        <x:f>COUNTIF('Resources'!$D$2:$D$1402,A20)</x:f>
        <x:v>34</x:v>
      </x:c>
      <x:c r="C20" s="109" t="n">
        <x:f>B20/$A$5</x:f>
        <x:v>0.02426837972876517</x:v>
      </x:c>
      <x:c r="E20" s="39" t="str">
        <x:v>Berkeley RDI</x:v>
      </x:c>
      <x:c r="F20" s="80" t="n">
        <x:f>COUNTIF('Resources'!$I$2:$I$1402,E20)</x:f>
        <x:v>24</x:v>
      </x:c>
    </x:row>
    <x:row r="21" ht="26" customHeight="1">
      <x:c r="A21" s="125" t="str">
        <x:v>Research Practice / Career</x:v>
      </x:c>
      <x:c r="B21" s="85" t="n">
        <x:f>COUNTIF('Resources'!$D$2:$D$1402,A21)</x:f>
        <x:v>34</x:v>
      </x:c>
      <x:c r="C21" s="109" t="n">
        <x:f>B21/$A$5</x:f>
        <x:v>0.02426837972876517</x:v>
      </x:c>
      <x:c r="E21" s="39" t="str">
        <x:v>MIT HAN Lab</x:v>
      </x:c>
      <x:c r="F21" s="80" t="n">
        <x:f>COUNTIF('Resources'!$I$2:$I$1402,E21)</x:f>
        <x:v>24</x:v>
      </x:c>
    </x:row>
    <x:row r="22" ht="26" customHeight="1">
      <x:c r="A22" s="125" t="str">
        <x:v>Deep Reinforcement Learning</x:v>
      </x:c>
      <x:c r="B22" s="85" t="n">
        <x:f>COUNTIF('Resources'!$D$2:$D$1402,A22)</x:f>
        <x:v>26</x:v>
      </x:c>
      <x:c r="C22" s="109" t="n">
        <x:f>B22/$A$5</x:f>
        <x:v>0.018558172733761598</x:v>
      </x:c>
      <x:c r="E22" s="39" t="str">
        <x:v>Google DeepMind</x:v>
      </x:c>
      <x:c r="F22" s="80" t="n">
        <x:f>COUNTIF('Resources'!$I$2:$I$1402,E22)</x:f>
        <x:v>22</x:v>
      </x:c>
    </x:row>
    <x:row r="23" ht="26" customHeight="1">
      <x:c r="A23" s="125" t="str">
        <x:v>Machine Learning Foundations</x:v>
      </x:c>
      <x:c r="B23" s="85" t="n">
        <x:f>COUNTIF('Resources'!$D$2:$D$1402,A23)</x:f>
        <x:v>26</x:v>
      </x:c>
      <x:c r="C23" s="109" t="n">
        <x:f>B23/$A$5</x:f>
        <x:v>0.018558172733761598</x:v>
      </x:c>
      <x:c r="E23" s="39" t="str">
        <x:v>Dwarkesh Patel</x:v>
      </x:c>
      <x:c r="F23" s="80" t="n">
        <x:f>COUNTIF('Resources'!$I$2:$I$1402,E23)</x:f>
        <x:v>19</x:v>
      </x:c>
    </x:row>
    <x:row r="24" ht="26" customHeight="1">
      <x:c r="A24" s="128" t="str">
        <x:v>Artificial Intelligence Foundations</x:v>
      </x:c>
      <x:c r="B24" s="87" t="n">
        <x:f>COUNTIF('Resources'!$D$2:$D$1402,A24)</x:f>
        <x:v>25</x:v>
      </x:c>
      <x:c r="C24" s="110" t="n">
        <x:f>B24/$A$5</x:f>
        <x:v>0.017844396859386154</x:v>
      </x:c>
      <x:c r="E24" s="42" t="str">
        <x:v>RAIL</x:v>
      </x:c>
      <x:c r="F24" s="82" t="n">
        <x:f>COUNTIF('Resources'!$I$2:$I$1402,E24)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553"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553"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553"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553"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553"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553"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553"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553"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553"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553"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553"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553"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553"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553"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553"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553"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553"/>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553"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553"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553"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553"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553"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553"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553"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553"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553"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553"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553"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553"/>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553"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553"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553"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553"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553"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553"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553"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553"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553"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553"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553"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553"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553"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553"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553"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553"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553"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553"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553"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553"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553"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553"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553"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553" t="n">
        <x:v>20210921.01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553"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553"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553"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553"/>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553"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553"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553"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553"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553"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553"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553"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553"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553"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553"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553"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553"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553"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553"/>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553"/>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553"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553"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553"/>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553"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553"/>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553"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553"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553"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553"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553"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553"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553"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553"/>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553"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553"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553"/>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553"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553"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553"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553"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553"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553"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553"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553"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553"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553"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553"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553"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553"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553"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553"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553"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553"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553"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553"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553"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553"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553"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553"/>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553"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553"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553"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553"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553"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553"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553"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553"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553"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553"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553"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553"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553"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553"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553"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553"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553"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553"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553"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553"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553"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553"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553"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553"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553"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553"/>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553"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553"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553"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553"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553"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553"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553"/>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553"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553"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553"/>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553"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553"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553"/>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553"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553"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553"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553"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553"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553"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553"/>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553"/>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553"/>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553"/>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553"/>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553"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553"/>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553"/>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553"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553"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553"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553"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553"/>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553"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553"/>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553"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553"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553"/>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553"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553"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553"/>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553"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553"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553"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553"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553"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553"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553"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553"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553"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553"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553"/>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553"/>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553"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553"/>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553"/>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553"/>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553"/>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553"/>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553"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553"/>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553"/>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553"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553"/>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553"/>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553"/>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553"/>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553"/>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553"/>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553"/>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553"/>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553"/>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553"/>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553"/>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553"/>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553"/>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553"/>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553"/>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553"/>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553"/>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553"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553"/>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553"/>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553"/>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553"/>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553"/>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553"/>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553"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553"/>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553"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553"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553"/>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553"/>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553"/>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553"/>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553"/>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553"/>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553"/>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553"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553"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553"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553"/>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553"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553"/>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553"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553"/>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553"/>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553"/>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553"/>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553"/>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553"/>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553"/>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553"/>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553"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553"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553"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553"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553"/>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553"/>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553"/>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553"/>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553"/>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553"/>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553"/>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553"/>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553"/>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553"/>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553"/>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553"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553"/>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553"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553"/>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553"/>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553"/>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553"/>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553"/>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553"/>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553"/>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553"/>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553"/>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553"/>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553"/>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553"/>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553"/>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553"/>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553"/>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553"/>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553"/>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553"/>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553"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553"/>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553"/>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553"/>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553"/>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553"/>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553"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553"/>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553"/>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553"/>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553"/>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553"/>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553"/>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553"/>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553"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553"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553"/>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553"/>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553"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553"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553"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553"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553"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553"/>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553"/>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553"/>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553"/>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553"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553"/>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553"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553"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553"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553"/>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553"/>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553"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553"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553"/>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553"/>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553"/>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553"/>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553"/>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553"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553"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553"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553"/>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553"/>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553"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553"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553"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553"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553"/>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553"/>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553"/>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553"/>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553"/>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553"/>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553"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553"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553"/>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553"/>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553"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553"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553"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553"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553"/>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553"/>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553"/>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553"/>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553"/>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553"/>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553"/>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553"/>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553"/>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553"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553"/>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553"/>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553"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553"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553"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553"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553"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553"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553"/>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553"/>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553"/>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553"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553"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553"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553"/>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553"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553"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553"/>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553"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553"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553"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553"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553"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553"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553"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553"/>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553"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553"/>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553"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553"/>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553"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553"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553"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553"/>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553"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553"/>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553"/>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553"/>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553"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553"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553"/>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553"/>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553"/>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553"/>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553"/>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553"/>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553"/>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553"/>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553"/>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553"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553"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553"/>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553"/>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553"/>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553"/>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553"/>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553"/>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553"/>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553"/>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553"/>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553"/>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553"/>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553"/>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553"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553"/>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553"/>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553"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553"/>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553"/>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553"/>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553"/>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553"/>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553"/>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553"/>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553"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553"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553"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553"/>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553"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553"/>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553"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553"/>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553"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553"/>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553"/>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553"/>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553"/>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553"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553"/>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553"/>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553"/>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553"/>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553"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553"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553"/>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553"/>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553"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553"/>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553"/>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553"/>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553"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553"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553"/>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553"/>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553"/>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553"/>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553"/>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553"/>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553"/>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553"/>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553"/>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553"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553"/>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553"/>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553"/>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553"/>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553"/>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553"/>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553"/>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553"/>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553"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553"/>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553"/>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553"/>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553"/>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553"/>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553"/>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553"/>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553"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553"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553"/>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553"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553"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553"/>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553"/>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553"/>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553"/>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553"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553"/>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553"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553"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553"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553"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553"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553"/>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553"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553"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553"/>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553"/>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553"/>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553"/>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553"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553"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553"/>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553"/>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553"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553"/>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553"/>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553"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553"/>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553"/>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553"/>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553"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553"/>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553"/>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553"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553"/>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553"/>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553"/>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553"/>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553"/>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553"/>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553"/>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553"/>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553"/>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553"/>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553"/>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553"/>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553"/>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553"/>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553"/>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553"/>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553"/>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553"/>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553"/>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553"/>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553"/>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554"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554"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554"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554"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554"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554"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554"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554"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554"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554"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554"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554"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554"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554"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554"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554"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554"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554"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554"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554"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554"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554"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554"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554"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554"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554"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554"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554"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554"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554"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554"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554"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554"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554"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554"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554"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554"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554"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554"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554"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554"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554"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554"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554"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554"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554"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554"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554"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554"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554"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554"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554"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554"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554"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554"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554"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554"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554"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554"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554"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554"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554"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554"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554"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554"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554"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554"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554"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554"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554"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554"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554"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554"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554"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554"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554"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554"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554"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554"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554"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554"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554"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554"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554"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554"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554"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554"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554"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554"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554"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554"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554"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554"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554"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554"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554"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554"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554"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554"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554"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554"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554"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554"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554"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554"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554"/>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554"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554"/>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554"/>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554"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555"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555"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555"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555"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555"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555"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555"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555"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555"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555"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555"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555"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555"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555"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555"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555"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555"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555"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555"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555"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555"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555"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555"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555"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555"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555"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555"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555"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555"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555"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555"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555"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555"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555"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555"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555"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555"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555"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555"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555"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555"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555"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555"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555"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555"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555"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555"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555"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555"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555"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555"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555"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555"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555"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555"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555"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555"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555"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555"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555"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555"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555"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555"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555"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555"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555"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555"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555"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555"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555"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555"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555"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555"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555"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555"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555"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555"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555"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555"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555"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555"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555"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555"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555"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555"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555"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555"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555"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555"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555"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555"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555"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555"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555"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555"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555"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555"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555"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555"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555"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555"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555"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555"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555"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555"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555"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555"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555"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555"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555"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555"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555"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555"/>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555"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555"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555"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555"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555"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555"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555"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555"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555"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555"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555"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555"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555"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555"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555"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555"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555"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555"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555"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555"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555"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555"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555"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555"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555"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555"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555"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555"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555"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555"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555"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555"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555"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555"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555"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555"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555"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555"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555"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555"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555"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555"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555"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555"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555"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555"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555"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555"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555"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555"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555"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555"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555"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555"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555"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555"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555"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555"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555"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555"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555"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555"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555"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555"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555"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555"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555"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555"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555"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555"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555"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555"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555"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555"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555"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555"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555"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555"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555"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555"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555"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555"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555"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555"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555"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555"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555"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555"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555"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555"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555"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555"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555"/>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555"/>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555"/>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555"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555"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555"/>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555"/>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555"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555"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555"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555"/>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555"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555"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555"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555"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555"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555"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555"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555"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555"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555"/>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555"/>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555"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555"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555"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555"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555"/>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555"/>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555"/>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555"/>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555"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555"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555"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555"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555"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555"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555"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555"/>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555"/>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555"/>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555"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555"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555"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555"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555"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555"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555"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555"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555"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555"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555"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555"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555"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555"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555"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555"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555"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555"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555"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555"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555"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555"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555"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555"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555"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555"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555"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555"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555"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555"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555"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555"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555"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555"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555"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555"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555"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555"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555"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555"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555"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555"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555"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555"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555"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555"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555"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555"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555"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555"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555"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555"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555"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555"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555"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555"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555"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555"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555"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555"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555"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555"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555"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555"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555"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555"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555"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555"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555"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555"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555"/>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555"/>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555"/>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555"/>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555"/>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555"/>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555"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555"/>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555"/>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555"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555"/>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555"/>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555"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555"/>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555"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555"/>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555"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555"/>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555"/>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555"/>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555"/>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555"/>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555"/>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555"/>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555"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555"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555"/>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555"/>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555"/>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555"/>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555"/>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555"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555"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555"/>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555"/>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555"/>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555"/>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555"/>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555"/>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555"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555"/>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555"/>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555"/>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555"/>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555"/>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555"/>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555"/>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555"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555"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555"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555"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555"/>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555"/>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555"/>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555"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555"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555"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555"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555"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555"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555"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555"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555"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555"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555"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555"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555"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555"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555"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555"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555"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555"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555"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555"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555"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555"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555"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555"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555"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555"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555"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555"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555"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555"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555"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555"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555"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555"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555"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555"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555"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555"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555"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555"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555"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555"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555"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555"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555"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555"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555"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555"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555"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555"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555"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555"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555"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555"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555"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555"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555"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555"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555"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555"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555"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555"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555"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555"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555"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555"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555"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555"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555"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555"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2020</x:v>
      </x:c>
      <x:c r="V1097" s="555" t="n">
        <x:v>10.1</x:v>
      </x:c>
      <x:c r="W1097" t="str">
        <x:v>berkeley-cs285-fall-2020</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2020</x:v>
      </x:c>
      <x:c r="V1098" s="555" t="n">
        <x:v>10.2</x:v>
      </x:c>
      <x:c r="W1098" t="str">
        <x:v>berkeley-cs285-fall-2020</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2020</x:v>
      </x:c>
      <x:c r="V1099" s="555" t="n">
        <x:v>10.3</x:v>
      </x:c>
      <x:c r="W1099" t="str">
        <x:v>berkeley-cs285-fall-2020</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2020</x:v>
      </x:c>
      <x:c r="V1100" s="555" t="n">
        <x:v>10.4</x:v>
      </x:c>
      <x:c r="W1100" t="str">
        <x:v>berkeley-cs285-fall-2020</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2020</x:v>
      </x:c>
      <x:c r="V1101" s="555" t="n">
        <x:v>10.5</x:v>
      </x:c>
      <x:c r="W1101" t="str">
        <x:v>berkeley-cs285-fall-2020</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2020</x:v>
      </x:c>
      <x:c r="V1102" s="555" t="n">
        <x:v>11.1</x:v>
      </x:c>
      <x:c r="W1102" t="str">
        <x:v>berkeley-cs285-fall-2020</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2020</x:v>
      </x:c>
      <x:c r="V1103" s="555" t="n">
        <x:v>11.2</x:v>
      </x:c>
      <x:c r="W1103" t="str">
        <x:v>berkeley-cs285-fall-2020</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2020</x:v>
      </x:c>
      <x:c r="V1104" s="555" t="n">
        <x:v>11.3</x:v>
      </x:c>
      <x:c r="W1104" t="str">
        <x:v>berkeley-cs285-fall-2020</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2020</x:v>
      </x:c>
      <x:c r="V1105" s="555" t="n">
        <x:v>11.4</x:v>
      </x:c>
      <x:c r="W1105" t="str">
        <x:v>berkeley-cs285-fall-2020</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2020</x:v>
      </x:c>
      <x:c r="V1106" s="555" t="n">
        <x:v>11.5</x:v>
      </x:c>
      <x:c r="W1106" t="str">
        <x:v>berkeley-cs285-fall-2020</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555"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555"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555"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555"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555"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555"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555"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555"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555"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555"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555"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555"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555"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555"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555"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555"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555"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555"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555"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555"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555"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555"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555"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555"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555"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555"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555"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555"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555"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555"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555"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555"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555"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555"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555"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555"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555"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555"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555"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555"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555"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555"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555"/>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555"/>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555"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555"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555"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555"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555"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555"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555"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555"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555"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555"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555"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555"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555" t="n">
        <x:v>20220820.01</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555"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555"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555" t="n">
        <x:v>20220820.02</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555"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555" t="n">
        <x:v>20250908.01</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555" t="n">
        <x:v>20210624.01</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555" t="n">
        <x:v>20250908.02</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555" t="n">
        <x:v>20250908.03</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555"/>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555"/>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555"/>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555"/>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555"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555"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555"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555"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555"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555"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555"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555"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555"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555"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555"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555"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555"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555"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555"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555"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555"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555"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555"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555"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555"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555"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555"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555"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555"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555"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555"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555"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555"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555"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555"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555"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555"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555"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555"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555"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555"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555"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555"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555"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555"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555"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555"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555"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555"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555"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555"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555"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555"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555"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555"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555"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555"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555"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555"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555"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555"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555"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555"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555"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555"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555"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555"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555"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555"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555"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555"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555"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555"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555"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555"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555"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555"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555"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555"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555"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555"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555"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555"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555"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555"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555"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555"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555"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555"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555"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555"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555"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555"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555"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555"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555"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555"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555"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555"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555"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555"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555"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555"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555"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555"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555"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555"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555"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555"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555"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555"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555"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555"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555"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555"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555"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555"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555"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555"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555"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555"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555"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555"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555"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555"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555"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555"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555"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555"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555"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555" t="str"/>
      <x:c r="W1302" t="str"/>
    </x:row>
    <x:row r="1303">
      <x:c r="A1303" t="str">
        <x:v>ST-1327</x:v>
      </x:c>
      <x:c r="B1303" t="str">
        <x:v>Talk</x:v>
      </x:c>
      <x:c r="C1303" t="str">
        <x:v>Vision</x:v>
      </x:c>
      <x:c r="D1303" t="str">
        <x:v>Vision / Image Generation</x:v>
      </x:c>
      <x:c r="E1303" t="str">
        <x:v>GPT-Image-2.5; image generation; API; OpenAI; vision</x:v>
      </x:c>
      <x:c r="F1303" t="str">
        <x:v>English</x:v>
      </x:c>
      <x:c r="G1303" t="str">
        <x:v>Introducing GPT-Image-2.5 in the API</x:v>
      </x:c>
      <x:c r="H1303" t="str">
        <x:v>OpenAI team</x:v>
      </x:c>
      <x:c r="I1303" t="str">
        <x:v>OpenAI</x:v>
      </x:c>
      <x:c r="J1303" t="str">
        <x:v>Product Talk</x:v>
      </x:c>
      <x:c r="K1303" s="148" t="n">
        <x:v>1</x:v>
      </x:c>
      <x:c r="L1303" t="str">
        <x:v>https://www.youtube.com/watch?v=A7MSwdXj86k</x:v>
      </x:c>
      <x:c r="M1303" t="str">
        <x:v>YouTube</x:v>
      </x:c>
      <x:c r="N1303" s="150" t="n">
        <x:v>0</x:v>
      </x:c>
      <x:c r="O1303" t="str">
        <x:v>A | Official / Original Creator / Organizer</x:v>
      </x:c>
      <x:c r="P1303" t="str">
        <x:v>Core</x:v>
      </x:c>
      <x:c r="Q1303" t="str">
        <x:v>Verified</x:v>
      </x:c>
      <x:c r="R1303" s="142" t="n">
        <x:v>46278</x:v>
      </x:c>
      <x:c r="S1303" t="str">
        <x:v>Official OpenAI announcement of GPT-Image-2.5 in the API, with a focus on image generation and developer access.</x:v>
      </x:c>
      <x:c r="T1303" t="str">
        <x:v>A7MSwdXj86k</x:v>
      </x:c>
      <x:c r="U1303" t="str"/>
      <x:c r="V1303" s="555" t="str"/>
      <x:c r="W1303" t="str"/>
    </x:row>
    <x:row r="1304">
      <x:c r="A1304" t="str">
        <x:v>ST-1328</x:v>
      </x:c>
      <x:c r="B1304" t="str">
        <x:v>Course</x:v>
      </x:c>
      <x:c r="C1304" t="str">
        <x:v>Agent</x:v>
      </x:c>
      <x:c r="D1304" t="str">
        <x:v>AI Agents / Education</x:v>
      </x:c>
      <x:c r="E1304" t="str">
        <x:v>dcode; LangChain Academy; agent development; tools; workflows</x:v>
      </x:c>
      <x:c r="F1304" t="str">
        <x:v>English</x:v>
      </x:c>
      <x:c r="G1304" t="str">
        <x:v>dcode Essentials | New LangChain Academy Course</x:v>
      </x:c>
      <x:c r="H1304" t="str">
        <x:v>LangChain team</x:v>
      </x:c>
      <x:c r="I1304" t="str">
        <x:v>LangChain</x:v>
      </x:c>
      <x:c r="J1304" t="str">
        <x:v>Course Preview</x:v>
      </x:c>
      <x:c r="K1304" s="148" t="n">
        <x:v>2</x:v>
      </x:c>
      <x:c r="L1304" t="str">
        <x:v>https://www.youtube.com/watch?v=5AASSLws9nU</x:v>
      </x:c>
      <x:c r="M1304" t="str">
        <x:v>YouTube</x:v>
      </x:c>
      <x:c r="N1304" s="150" t="n">
        <x:v>0</x:v>
      </x:c>
      <x:c r="O1304" t="str">
        <x:v>A | Official / Original Creator / Organizer</x:v>
      </x:c>
      <x:c r="P1304" t="str">
        <x:v>Core</x:v>
      </x:c>
      <x:c r="Q1304" t="str">
        <x:v>Verified</x:v>
      </x:c>
      <x:c r="R1304" s="142" t="n">
        <x:v>46278</x:v>
      </x:c>
      <x:c r="S1304" t="str">
        <x:v>Official preview for LangChain Academy’s dcode Essentials course, a practical path into building and evaluating agentic applications.</x:v>
      </x:c>
      <x:c r="T1304" t="str">
        <x:v>5AASSLws9nU</x:v>
      </x:c>
      <x:c r="U1304" t="str">
        <x:v>LangChain Academy: dcode Essentials — 2026</x:v>
      </x:c>
      <x:c r="V1304" s="555" t="n">
        <x:v>1</x:v>
      </x:c>
      <x:c r="W1304" t="str">
        <x:v>langchain-academy-dcode-essentials-2026</x:v>
      </x:c>
    </x:row>
    <x:row r="1305">
      <x:c r="A1305" t="str">
        <x:v>ST-1329</x:v>
      </x:c>
      <x:c r="B1305" t="str">
        <x:v>Talk</x:v>
      </x:c>
      <x:c r="C1305" t="str">
        <x:v>Agent</x:v>
      </x:c>
      <x:c r="D1305" t="str">
        <x:v>AI Agents / Frontier Models</x:v>
      </x:c>
      <x:c r="E1305" t="str">
        <x:v>Google AI; Gemini; agents; model updates; multimodal</x:v>
      </x:c>
      <x:c r="F1305" t="str">
        <x:v>English</x:v>
      </x:c>
      <x:c r="G1305" t="str">
        <x:v>Google New AI Updates are CRAZY!</x:v>
      </x:c>
      <x:c r="H1305" t="str">
        <x:v>Julian Goldie</x:v>
      </x:c>
      <x:c r="I1305" t="str">
        <x:v>Julian Goldie Agency</x:v>
      </x:c>
      <x:c r="J1305" t="str">
        <x:v>Research Commentary</x:v>
      </x:c>
      <x:c r="K1305" s="148" t="n">
        <x:v>9</x:v>
      </x:c>
      <x:c r="L1305" t="str">
        <x:v>https://www.youtube.com/watch?v=DQfTD0W62oA</x:v>
      </x:c>
      <x:c r="M1305" t="str">
        <x:v>YouTube</x:v>
      </x:c>
      <x:c r="N1305" s="150" t="n">
        <x:v>0</x:v>
      </x:c>
      <x:c r="O1305" t="str">
        <x:v>B | Independent Technical Creator</x:v>
      </x:c>
      <x:c r="P1305" t="str">
        <x:v>Reserve</x:v>
      </x:c>
      <x:c r="Q1305" t="str">
        <x:v>Verified</x:v>
      </x:c>
      <x:c r="R1305" s="142" t="n">
        <x:v>46278</x:v>
      </x:c>
      <x:c r="S1305" t="str">
        <x:v>Independent roundup of Google’s current AI and agent updates; useful as a discovery pointer, not a primary announcement.</x:v>
      </x:c>
      <x:c r="T1305" t="str">
        <x:v>DQfTD0W62oA</x:v>
      </x:c>
      <x:c r="U1305" t="str"/>
      <x:c r="V1305" s="555" t="str"/>
      <x:c r="W1305" t="str"/>
    </x:row>
    <x:row r="1306">
      <x:c r="A1306" t="str">
        <x:v>ST-1330</x:v>
      </x:c>
      <x:c r="B1306" t="str">
        <x:v>Course</x:v>
      </x:c>
      <x:c r="C1306" t="str">
        <x:v>Agent</x:v>
      </x:c>
      <x:c r="D1306" t="str">
        <x:v>AI Agents / Local Deployment</x:v>
      </x:c>
      <x:c r="E1306" t="str">
        <x:v>Agent OS; local models; self-hosting; terminal; automation</x:v>
      </x:c>
      <x:c r="F1306" t="str">
        <x:v>English</x:v>
      </x:c>
      <x:c r="G1306" t="str">
        <x:v>3 Ways to Run Local Models Inside Agent OS Effectively</x:v>
      </x:c>
      <x:c r="H1306" t="str">
        <x:v>Julian Goldie</x:v>
      </x:c>
      <x:c r="I1306" t="str">
        <x:v>Julian Goldie Agency</x:v>
      </x:c>
      <x:c r="J1306" t="str">
        <x:v>Deployment Tutorial</x:v>
      </x:c>
      <x:c r="K1306" s="148" t="n">
        <x:v>2</x:v>
      </x:c>
      <x:c r="L1306" t="str">
        <x:v>https://www.youtube.com/watch?v=oYhddEufd64</x:v>
      </x:c>
      <x:c r="M1306" t="str">
        <x:v>YouTube</x:v>
      </x:c>
      <x:c r="N1306" s="150" t="n">
        <x:v>0</x:v>
      </x:c>
      <x:c r="O1306" t="str">
        <x:v>B | Independent Technical Creator</x:v>
      </x:c>
      <x:c r="P1306" t="str">
        <x:v>Reserve</x:v>
      </x:c>
      <x:c r="Q1306" t="str">
        <x:v>Verified</x:v>
      </x:c>
      <x:c r="R1306" s="142" t="n">
        <x:v>46278</x:v>
      </x:c>
      <x:c r="S1306" t="str">
        <x:v>Short practical guide to running local models inside an agent operating system.</x:v>
      </x:c>
      <x:c r="T1306" t="str">
        <x:v>oYhddEufd64</x:v>
      </x:c>
      <x:c r="U1306" t="str"/>
      <x:c r="V1306" s="555" t="str"/>
      <x:c r="W1306" t="str"/>
    </x:row>
    <x:row r="1307">
      <x:c r="A1307" t="str">
        <x:v>ST-1331</x:v>
      </x:c>
      <x:c r="B1307" t="str">
        <x:v>Talk</x:v>
      </x:c>
      <x:c r="C1307" t="str">
        <x:v>Agent</x:v>
      </x:c>
      <x:c r="D1307" t="str">
        <x:v>AI Agents / Product Updates</x:v>
      </x:c>
      <x:c r="E1307" t="str">
        <x:v>ChatGPT; agent updates; productivity; model capabilities</x:v>
      </x:c>
      <x:c r="F1307" t="str">
        <x:v>English</x:v>
      </x:c>
      <x:c r="G1307" t="str">
        <x:v>3 Big ChatGPT Updates You Need to Know</x:v>
      </x:c>
      <x:c r="H1307" t="str">
        <x:v>Matt Wolfe</x:v>
      </x:c>
      <x:c r="I1307" t="str">
        <x:v>Matt Wolfe</x:v>
      </x:c>
      <x:c r="J1307" t="str">
        <x:v>Research Commentary</x:v>
      </x:c>
      <x:c r="K1307" s="148" t="n">
        <x:v>1</x:v>
      </x:c>
      <x:c r="L1307" t="str">
        <x:v>https://www.youtube.com/watch?v=LJ2YeWQ_uJE</x:v>
      </x:c>
      <x:c r="M1307" t="str">
        <x:v>YouTube</x:v>
      </x:c>
      <x:c r="N1307" s="150" t="n">
        <x:v>0</x:v>
      </x:c>
      <x:c r="O1307" t="str">
        <x:v>B | Independent Technical Creator</x:v>
      </x:c>
      <x:c r="P1307" t="str">
        <x:v>Reserve</x:v>
      </x:c>
      <x:c r="Q1307" t="str">
        <x:v>Verified</x:v>
      </x:c>
      <x:c r="R1307" s="142" t="n">
        <x:v>46278</x:v>
      </x:c>
      <x:c r="S1307" t="str">
        <x:v>Concise roundup of new ChatGPT capabilities relevant to agent workflows.</x:v>
      </x:c>
      <x:c r="T1307" t="str">
        <x:v>LJ2YeWQ_uJE</x:v>
      </x:c>
      <x:c r="U1307" t="str"/>
      <x:c r="V1307" s="555" t="str"/>
      <x:c r="W1307" t="str"/>
    </x:row>
    <x:row r="1308">
      <x:c r="A1308" t="str">
        <x:v>ST-1332</x:v>
      </x:c>
      <x:c r="B1308" t="str">
        <x:v>Talk</x:v>
      </x:c>
      <x:c r="C1308" t="str">
        <x:v>Agent</x:v>
      </x:c>
      <x:c r="D1308" t="str">
        <x:v>AI Agents / Context and Inference</x:v>
      </x:c>
      <x:c r="E1308" t="str">
        <x:v>context length; inference cost; scaling; coding agents; token economics</x:v>
      </x:c>
      <x:c r="F1308" t="str">
        <x:v>English</x:v>
      </x:c>
      <x:c r="G1308" t="str">
        <x:v>Why AI Gets Exponentially More Expensive as You Give It More Context</x:v>
      </x:c>
      <x:c r="H1308" t="str">
        <x:v>Eye on AI</x:v>
      </x:c>
      <x:c r="I1308" t="str">
        <x:v>Eye on AI</x:v>
      </x:c>
      <x:c r="J1308" t="str">
        <x:v>Research Explainer</x:v>
      </x:c>
      <x:c r="K1308" s="148" t="n">
        <x:v>12</x:v>
      </x:c>
      <x:c r="L1308" t="str">
        <x:v>https://www.youtube.com/watch?v=1__gjENBjBA</x:v>
      </x:c>
      <x:c r="M1308" t="str">
        <x:v>YouTube</x:v>
      </x:c>
      <x:c r="N1308" s="150" t="n">
        <x:v>0</x:v>
      </x:c>
      <x:c r="O1308" t="str">
        <x:v>B | Independent Technical Creator</x:v>
      </x:c>
      <x:c r="P1308" t="str">
        <x:v>Recommended</x:v>
      </x:c>
      <x:c r="Q1308" t="str">
        <x:v>Verified</x:v>
      </x:c>
      <x:c r="R1308" s="142" t="n">
        <x:v>46278</x:v>
      </x:c>
      <x:c r="S1308" t="str">
        <x:v>Explains the compute and cost consequences of long context windows for modern agent systems.</x:v>
      </x:c>
      <x:c r="T1308" t="str">
        <x:v>1__gjENBjBA</x:v>
      </x:c>
      <x:c r="U1308" t="str"/>
      <x:c r="V1308" s="555" t="str"/>
      <x:c r="W1308" t="str"/>
    </x:row>
    <x:row r="1309">
      <x:c r="A1309" t="str">
        <x:v>ST-1333</x:v>
      </x:c>
      <x:c r="B1309" t="str">
        <x:v>Course</x:v>
      </x:c>
      <x:c r="C1309" t="str">
        <x:v>Agent</x:v>
      </x:c>
      <x:c r="D1309" t="str">
        <x:v>AI Agents / Operating Systems</x:v>
      </x:c>
      <x:c r="E1309" t="str">
        <x:v>Agent OS; custom agents; orchestration; local automation</x:v>
      </x:c>
      <x:c r="F1309" t="str">
        <x:v>English</x:v>
      </x:c>
      <x:c r="G1309" t="str">
        <x:v>Building Your Own Custom Agent OS Is Easier Than You Think</x:v>
      </x:c>
      <x:c r="H1309" t="str">
        <x:v>Julian Goldie</x:v>
      </x:c>
      <x:c r="I1309" t="str">
        <x:v>Julian Goldie Agency</x:v>
      </x:c>
      <x:c r="J1309" t="str">
        <x:v>Tutorial / Walkthrough</x:v>
      </x:c>
      <x:c r="K1309" s="148" t="n">
        <x:v>8</x:v>
      </x:c>
      <x:c r="L1309" t="str">
        <x:v>https://www.youtube.com/watch?v=nJ5sjyYMdx0</x:v>
      </x:c>
      <x:c r="M1309" t="str">
        <x:v>YouTube</x:v>
      </x:c>
      <x:c r="N1309" s="150" t="n">
        <x:v>0</x:v>
      </x:c>
      <x:c r="O1309" t="str">
        <x:v>B | Independent Technical Creator</x:v>
      </x:c>
      <x:c r="P1309" t="str">
        <x:v>Reserve</x:v>
      </x:c>
      <x:c r="Q1309" t="str">
        <x:v>Verified</x:v>
      </x:c>
      <x:c r="R1309" s="142" t="n">
        <x:v>46278</x:v>
      </x:c>
      <x:c r="S1309" t="str">
        <x:v>Hands-on walkthrough of assembling a custom local agent operating system.</x:v>
      </x:c>
      <x:c r="T1309" t="str">
        <x:v>nJ5sjyYMdx0</x:v>
      </x:c>
      <x:c r="U1309" t="str"/>
      <x:c r="V1309" s="555" t="str"/>
      <x:c r="W1309" t="str"/>
    </x:row>
    <x:row r="1310">
      <x:c r="A1310" t="str">
        <x:v>ST-1334</x:v>
      </x:c>
      <x:c r="B1310" t="str">
        <x:v>Interview</x:v>
      </x:c>
      <x:c r="C1310" t="str">
        <x:v>Agent</x:v>
      </x:c>
      <x:c r="D1310" t="str">
        <x:v>AI Agents / Conversational Systems</x:v>
      </x:c>
      <x:c r="E1310" t="str">
        <x:v>Claude; ChatGPT; agent design; evaluation; product strategy</x:v>
      </x:c>
      <x:c r="F1310" t="str">
        <x:v>English</x:v>
      </x:c>
      <x:c r="G1310" t="str">
        <x:v>Claude vs ChatGPT Is the Wrong Place to Start</x:v>
      </x:c>
      <x:c r="H1310" t="str">
        <x:v>Ryan Doser</x:v>
      </x:c>
      <x:c r="I1310" t="str">
        <x:v>Ryan Doser</x:v>
      </x:c>
      <x:c r="J1310" t="str">
        <x:v>Founder / Product Interview</x:v>
      </x:c>
      <x:c r="K1310" s="148" t="n">
        <x:v>18</x:v>
      </x:c>
      <x:c r="L1310" t="str">
        <x:v>https://www.youtube.com/watch?v=9KZf7bONPNg</x:v>
      </x:c>
      <x:c r="M1310" t="str">
        <x:v>YouTube</x:v>
      </x:c>
      <x:c r="N1310" s="150" t="n">
        <x:v>0</x:v>
      </x:c>
      <x:c r="O1310" t="str">
        <x:v>B | Independent Technical Creator</x:v>
      </x:c>
      <x:c r="P1310" t="str">
        <x:v>Recommended</x:v>
      </x:c>
      <x:c r="Q1310" t="str">
        <x:v>Verified</x:v>
      </x:c>
      <x:c r="R1310" s="142" t="n">
        <x:v>46278</x:v>
      </x:c>
      <x:c r="S1310" t="str">
        <x:v>Interview-style discussion about choosing agent systems by workflow and evaluation criteria rather than model branding.</x:v>
      </x:c>
      <x:c r="T1310" t="str">
        <x:v>9KZf7bONPNg</x:v>
      </x:c>
      <x:c r="U1310" t="str"/>
      <x:c r="V1310" s="555" t="str"/>
      <x:c r="W1310" t="str"/>
    </x:row>
    <x:row r="1311">
      <x:c r="A1311" t="str">
        <x:v>ST-1335</x:v>
      </x:c>
      <x:c r="B1311" t="str">
        <x:v>Interview</x:v>
      </x:c>
      <x:c r="C1311" t="str">
        <x:v>Agent</x:v>
      </x:c>
      <x:c r="D1311" t="str">
        <x:v>AI Agents / Software Engineering</x:v>
      </x:c>
      <x:c r="E1311" t="str">
        <x:v>coding agents; reading code; software engineering; Subquadratic; agent behavior</x:v>
      </x:c>
      <x:c r="F1311" t="str">
        <x:v>English</x:v>
      </x:c>
      <x:c r="G1311" t="str">
        <x:v>86% of What Coding Agents Do Is Just Reading — Alexander Whedon</x:v>
      </x:c>
      <x:c r="H1311" t="str">
        <x:v>Alexander Whedon</x:v>
      </x:c>
      <x:c r="I1311" t="str">
        <x:v>Eye on AI</x:v>
      </x:c>
      <x:c r="J1311" t="str">
        <x:v>Founder Interview</x:v>
      </x:c>
      <x:c r="K1311" s="148" t="n">
        <x:v>35</x:v>
      </x:c>
      <x:c r="L1311" t="str">
        <x:v>https://www.youtube.com/watch?v=-uLn8m_-vKw</x:v>
      </x:c>
      <x:c r="M1311" t="str">
        <x:v>YouTube</x:v>
      </x:c>
      <x:c r="N1311" s="150" t="n">
        <x:v>0</x:v>
      </x:c>
      <x:c r="O1311" t="str">
        <x:v>A | Official / Original Creator / Organizer</x:v>
      </x:c>
      <x:c r="P1311" t="str">
        <x:v>Core</x:v>
      </x:c>
      <x:c r="Q1311" t="str">
        <x:v>Verified</x:v>
      </x:c>
      <x:c r="R1311" s="142" t="n">
        <x:v>46278</x:v>
      </x:c>
      <x:c r="S1311" t="str">
        <x:v>Interview on why software agents spend most of their time understanding repositories, and what that implies for agent architecture.</x:v>
      </x:c>
      <x:c r="T1311" t="str">
        <x:v>-uLn8m_-vKw</x:v>
      </x:c>
      <x:c r="U1311" t="str">
        <x:v>Eye on AI</x:v>
      </x:c>
      <x:c r="V1311" s="555" t="n">
        <x:v>20260908</x:v>
      </x:c>
      <x:c r="W1311" t="str">
        <x:v>eye-on-ai-podcast</x:v>
      </x:c>
    </x:row>
    <x:row r="1312">
      <x:c r="A1312" t="str">
        <x:v>ST-1336</x:v>
      </x:c>
      <x:c r="B1312" t="str">
        <x:v>Talk</x:v>
      </x:c>
      <x:c r="C1312" t="str">
        <x:v>Vision</x:v>
      </x:c>
      <x:c r="D1312" t="str">
        <x:v>Vision / Interface Generation</x:v>
      </x:c>
      <x:c r="E1312" t="str">
        <x:v>GPT-6 Astra; dashboard generation; screenshot-to-UI; multimodal agents</x:v>
      </x:c>
      <x:c r="F1312" t="str">
        <x:v>English</x:v>
      </x:c>
      <x:c r="G1312" t="str">
        <x:v>GPT-6 Astra Rebuilds Dashboards Instantly</x:v>
      </x:c>
      <x:c r="H1312" t="str">
        <x:v>Julian Goldie</x:v>
      </x:c>
      <x:c r="I1312" t="str">
        <x:v>Julian Goldie Agency</x:v>
      </x:c>
      <x:c r="J1312" t="str">
        <x:v>Product Demo</x:v>
      </x:c>
      <x:c r="K1312" s="148" t="n">
        <x:v>8</x:v>
      </x:c>
      <x:c r="L1312" t="str">
        <x:v>https://www.youtube.com/watch?v=FIuTtI0UkrA</x:v>
      </x:c>
      <x:c r="M1312" t="str">
        <x:v>YouTube</x:v>
      </x:c>
      <x:c r="N1312" s="150" t="n">
        <x:v>0</x:v>
      </x:c>
      <x:c r="O1312" t="str">
        <x:v>B | Independent Technical Creator</x:v>
      </x:c>
      <x:c r="P1312" t="str">
        <x:v>Reserve</x:v>
      </x:c>
      <x:c r="Q1312" t="str">
        <x:v>Verified</x:v>
      </x:c>
      <x:c r="R1312" s="142" t="n">
        <x:v>46278</x:v>
      </x:c>
      <x:c r="S1312" t="str">
        <x:v>Demo of screenshot-to-dashboard generation with a multimodal agent.</x:v>
      </x:c>
      <x:c r="T1312" t="str">
        <x:v>FIuTtI0UkrA</x:v>
      </x:c>
      <x:c r="U1312" t="str"/>
      <x:c r="V1312" s="555" t="str"/>
      <x:c r="W1312" t="str"/>
    </x:row>
    <x:row r="1313">
      <x:c r="A1313" t="str">
        <x:v>ST-1337</x:v>
      </x:c>
      <x:c r="B1313" t="str">
        <x:v>Course</x:v>
      </x:c>
      <x:c r="C1313" t="str">
        <x:v>Agent</x:v>
      </x:c>
      <x:c r="D1313" t="str">
        <x:v>AI Agents / Hiring Automation</x:v>
      </x:c>
      <x:c r="E1313" t="str">
        <x:v>AI HR agent; hiring; recruiting; workflow automation; LLM tools</x:v>
      </x:c>
      <x:c r="F1313" t="str">
        <x:v>English</x:v>
      </x:c>
      <x:c r="G1313" t="str">
        <x:v>I Built an AI HR Agent to Handle Hiring (100% Free)</x:v>
      </x:c>
      <x:c r="H1313" t="str">
        <x:v>Murtaza Hassan</x:v>
      </x:c>
      <x:c r="I1313" t="str">
        <x:v>Murtaza’s Workshop - Robotics and AI</x:v>
      </x:c>
      <x:c r="J1313" t="str">
        <x:v>Tutorial / Walkthrough</x:v>
      </x:c>
      <x:c r="K1313" s="148" t="n">
        <x:v>14</x:v>
      </x:c>
      <x:c r="L1313" t="str">
        <x:v>https://www.youtube.com/watch?v=7D7HlEGXDLE</x:v>
      </x:c>
      <x:c r="M1313" t="str">
        <x:v>YouTube</x:v>
      </x:c>
      <x:c r="N1313" s="150" t="n">
        <x:v>0</x:v>
      </x:c>
      <x:c r="O1313" t="str">
        <x:v>B | Independent Technical Creator</x:v>
      </x:c>
      <x:c r="P1313" t="str">
        <x:v>Recommended</x:v>
      </x:c>
      <x:c r="Q1313" t="str">
        <x:v>Verified</x:v>
      </x:c>
      <x:c r="R1313" s="142" t="n">
        <x:v>46278</x:v>
      </x:c>
      <x:c r="S1313" t="str">
        <x:v>Build-along tutorial for an HR agent that screens and organizes hiring tasks.</x:v>
      </x:c>
      <x:c r="T1313" t="str">
        <x:v>7D7HlEGXDLE</x:v>
      </x:c>
      <x:c r="U1313" t="str"/>
      <x:c r="V1313" s="555" t="str"/>
      <x:c r="W1313" t="str"/>
    </x:row>
    <x:row r="1314">
      <x:c r="A1314" t="str">
        <x:v>ST-1338</x:v>
      </x:c>
      <x:c r="B1314" t="str">
        <x:v>Course</x:v>
      </x:c>
      <x:c r="C1314" t="str">
        <x:v>Agent</x:v>
      </x:c>
      <x:c r="D1314" t="str">
        <x:v>AI Agents / Tool Use</x:v>
      </x:c>
      <x:c r="E1314" t="str">
        <x:v>Gmail; Calendar; Slack; tool calling; OAuth; agent integration</x:v>
      </x:c>
      <x:c r="F1314" t="str">
        <x:v>English</x:v>
      </x:c>
      <x:c r="G1314" t="str">
        <x:v>Building an AI Agent with Access to Gmail, Calendar and Slack</x:v>
      </x:c>
      <x:c r="H1314" t="str">
        <x:v>Nicolai Nielsen</x:v>
      </x:c>
      <x:c r="I1314" t="str">
        <x:v>Nicolai Nielsen</x:v>
      </x:c>
      <x:c r="J1314" t="str">
        <x:v>Tutorial / Walkthrough</x:v>
      </x:c>
      <x:c r="K1314" s="148" t="n">
        <x:v>24</x:v>
      </x:c>
      <x:c r="L1314" t="str">
        <x:v>https://www.youtube.com/watch?v=8ROL45j6ps8</x:v>
      </x:c>
      <x:c r="M1314" t="str">
        <x:v>YouTube</x:v>
      </x:c>
      <x:c r="N1314" s="150" t="n">
        <x:v>0</x:v>
      </x:c>
      <x:c r="O1314" t="str">
        <x:v>B | Independent Technical Creator</x:v>
      </x:c>
      <x:c r="P1314" t="str">
        <x:v>Recommended</x:v>
      </x:c>
      <x:c r="Q1314" t="str">
        <x:v>Verified</x:v>
      </x:c>
      <x:c r="R1314" s="142" t="n">
        <x:v>46278</x:v>
      </x:c>
      <x:c r="S1314" t="str">
        <x:v>Practical integration tutorial for giving an agent secure access to common work tools.</x:v>
      </x:c>
      <x:c r="T1314" t="str">
        <x:v>8ROL45j6ps8</x:v>
      </x:c>
      <x:c r="U1314" t="str"/>
      <x:c r="V1314" s="555" t="str"/>
      <x:c r="W1314" t="str"/>
    </x:row>
    <x:row r="1315">
      <x:c r="A1315" t="str">
        <x:v>ST-1339</x:v>
      </x:c>
      <x:c r="B1315" t="str">
        <x:v>Talk</x:v>
      </x:c>
      <x:c r="C1315" t="str">
        <x:v>Agent</x:v>
      </x:c>
      <x:c r="D1315" t="str">
        <x:v>AI Agents / Frontier Models</x:v>
      </x:c>
      <x:c r="E1315" t="str">
        <x:v>GPT-6 Astra; multimodal agents; model capabilities; research</x:v>
      </x:c>
      <x:c r="F1315" t="str">
        <x:v>English</x:v>
      </x:c>
      <x:c r="G1315" t="str">
        <x:v>GPT-6 Astra — A Massive Leap Into the Future</x:v>
      </x:c>
      <x:c r="H1315" t="str">
        <x:v>Two Minute Papers</x:v>
      </x:c>
      <x:c r="I1315" t="str">
        <x:v>Two Minute Papers</x:v>
      </x:c>
      <x:c r="J1315" t="str">
        <x:v>Research Explainer</x:v>
      </x:c>
      <x:c r="K1315" s="148" t="n">
        <x:v>9</x:v>
      </x:c>
      <x:c r="L1315" t="str">
        <x:v>https://www.youtube.com/watch?v=eVBJIUxv8N8</x:v>
      </x:c>
      <x:c r="M1315" t="str">
        <x:v>YouTube</x:v>
      </x:c>
      <x:c r="N1315" s="150" t="n">
        <x:v>0</x:v>
      </x:c>
      <x:c r="O1315" t="str">
        <x:v>B | Independent Technical Creator</x:v>
      </x:c>
      <x:c r="P1315" t="str">
        <x:v>Recommended</x:v>
      </x:c>
      <x:c r="Q1315" t="str">
        <x:v>Verified</x:v>
      </x:c>
      <x:c r="R1315" s="142" t="n">
        <x:v>46278</x:v>
      </x:c>
      <x:c r="S1315" t="str">
        <x:v>Research explainer of reported GPT-6 Astra capabilities and implications for multimodal agents.</x:v>
      </x:c>
      <x:c r="T1315" t="str">
        <x:v>eVBJIUxv8N8</x:v>
      </x:c>
      <x:c r="U1315" t="str"/>
      <x:c r="V1315" s="555" t="str"/>
      <x:c r="W1315" t="str"/>
    </x:row>
    <x:row r="1316">
      <x:c r="A1316" t="str">
        <x:v>ST-1340</x:v>
      </x:c>
      <x:c r="B1316" t="str">
        <x:v>Course</x:v>
      </x:c>
      <x:c r="C1316" t="str">
        <x:v>Agent</x:v>
      </x:c>
      <x:c r="D1316" t="str">
        <x:v>AI Agents / MCP Automation</x:v>
      </x:c>
      <x:c r="E1316" t="str">
        <x:v>OpenSEO; MCP; automation; SEO; tools; tutorial</x:v>
      </x:c>
      <x:c r="F1316" t="str">
        <x:v>English</x:v>
      </x:c>
      <x:c r="G1316" t="str">
        <x:v>How to Set Up OpenSEO with MCP</x:v>
      </x:c>
      <x:c r="H1316" t="str">
        <x:v>AI Automation Station</x:v>
      </x:c>
      <x:c r="I1316" t="str">
        <x:v>AI Automation Station</x:v>
      </x:c>
      <x:c r="J1316" t="str">
        <x:v>Deployment Tutorial</x:v>
      </x:c>
      <x:c r="K1316" s="148" t="n">
        <x:v>10</x:v>
      </x:c>
      <x:c r="L1316" t="str">
        <x:v>https://www.youtube.com/watch?v=p7HiymqC8P8</x:v>
      </x:c>
      <x:c r="M1316" t="str">
        <x:v>YouTube</x:v>
      </x:c>
      <x:c r="N1316" s="150" t="n">
        <x:v>0</x:v>
      </x:c>
      <x:c r="O1316" t="str">
        <x:v>B | Independent Technical Creator</x:v>
      </x:c>
      <x:c r="P1316" t="str">
        <x:v>Reserve</x:v>
      </x:c>
      <x:c r="Q1316" t="str">
        <x:v>Verified</x:v>
      </x:c>
      <x:c r="R1316" s="142" t="n">
        <x:v>46278</x:v>
      </x:c>
      <x:c r="S1316" t="str">
        <x:v>Step-by-step MCP automation tutorial connecting an SEO workflow to an agent.</x:v>
      </x:c>
      <x:c r="T1316" t="str">
        <x:v>p7HiymqC8P8</x:v>
      </x:c>
      <x:c r="U1316" t="str"/>
      <x:c r="V1316" s="555" t="str"/>
      <x:c r="W1316" t="str"/>
    </x:row>
    <x:row r="1317">
      <x:c r="A1317" t="str">
        <x:v>ST-1341</x:v>
      </x:c>
      <x:c r="B1317" t="str">
        <x:v>Talk</x:v>
      </x:c>
      <x:c r="C1317" t="str">
        <x:v>Agent</x:v>
      </x:c>
      <x:c r="D1317" t="str">
        <x:v>AI Models / DeepSeek</x:v>
      </x:c>
      <x:c r="E1317" t="str">
        <x:v>DeepSeek; V4.1 Flash; architecture; coding; agents</x:v>
      </x:c>
      <x:c r="F1317" t="str">
        <x:v>English</x:v>
      </x:c>
      <x:c r="G1317" t="str">
        <x:v>How DeepSeek V4.1 Flash Actually Works: A Deep Dive</x:v>
      </x:c>
      <x:c r="H1317" t="str">
        <x:v>Louis-François Bouchard</x:v>
      </x:c>
      <x:c r="I1317" t="str">
        <x:v>What’s AI</x:v>
      </x:c>
      <x:c r="J1317" t="str">
        <x:v>Technical Explainer</x:v>
      </x:c>
      <x:c r="K1317" s="148" t="n">
        <x:v>20</x:v>
      </x:c>
      <x:c r="L1317" t="str">
        <x:v>https://www.youtube.com/watch?v=-28P_Cvvg_w</x:v>
      </x:c>
      <x:c r="M1317" t="str">
        <x:v>YouTube</x:v>
      </x:c>
      <x:c r="N1317" s="150" t="n">
        <x:v>0</x:v>
      </x:c>
      <x:c r="O1317" t="str">
        <x:v>B | Independent Technical Creator</x:v>
      </x:c>
      <x:c r="P1317" t="str">
        <x:v>Recommended</x:v>
      </x:c>
      <x:c r="Q1317" t="str">
        <x:v>Verified</x:v>
      </x:c>
      <x:c r="R1317" s="142" t="n">
        <x:v>46278</x:v>
      </x:c>
      <x:c r="S1317" t="str">
        <x:v>Technical walkthrough of DeepSeek V4.1 Flash and its relevance to efficient agentic coding.</x:v>
      </x:c>
      <x:c r="T1317" t="str">
        <x:v>-28P_Cvvg_w</x:v>
      </x:c>
      <x:c r="U1317" t="str"/>
      <x:c r="V1317" s="555" t="str"/>
      <x:c r="W1317" t="str"/>
    </x:row>
    <x:row r="1318">
      <x:c r="A1318" t="str">
        <x:v>ST-1342</x:v>
      </x:c>
      <x:c r="B1318" t="str">
        <x:v>Talk</x:v>
      </x:c>
      <x:c r="C1318" t="str">
        <x:v>Vision</x:v>
      </x:c>
      <x:c r="D1318" t="str">
        <x:v>Vision / Design Agents</x:v>
      </x:c>
      <x:c r="E1318" t="str">
        <x:v>Figma; design agent; brand learning; multimodal UI; product design</x:v>
      </x:c>
      <x:c r="F1318" t="str">
        <x:v>English</x:v>
      </x:c>
      <x:c r="G1318" t="str">
        <x:v>Figma Just Launched a Design Agent That Learns Your Brand</x:v>
      </x:c>
      <x:c r="H1318" t="str">
        <x:v>Jack Roberts</x:v>
      </x:c>
      <x:c r="I1318" t="str">
        <x:v>Jack Roberts</x:v>
      </x:c>
      <x:c r="J1318" t="str">
        <x:v>Product Demo</x:v>
      </x:c>
      <x:c r="K1318" s="148" t="n">
        <x:v>11</x:v>
      </x:c>
      <x:c r="L1318" t="str">
        <x:v>https://www.youtube.com/watch?v=0mO4itAA4L4</x:v>
      </x:c>
      <x:c r="M1318" t="str">
        <x:v>YouTube</x:v>
      </x:c>
      <x:c r="N1318" s="150" t="n">
        <x:v>0</x:v>
      </x:c>
      <x:c r="O1318" t="str">
        <x:v>B | Independent Technical Creator</x:v>
      </x:c>
      <x:c r="P1318" t="str">
        <x:v>Recommended</x:v>
      </x:c>
      <x:c r="Q1318" t="str">
        <x:v>Verified</x:v>
      </x:c>
      <x:c r="R1318" s="142" t="n">
        <x:v>46278</x:v>
      </x:c>
      <x:c r="S1318" t="str">
        <x:v>Demo of a design agent that adapts generated interfaces to a brand system.</x:v>
      </x:c>
      <x:c r="T1318" t="str">
        <x:v>0mO4itAA4L4</x:v>
      </x:c>
      <x:c r="U1318" t="str"/>
      <x:c r="V1318" s="555" t="str"/>
      <x:c r="W1318" t="str"/>
    </x:row>
    <x:row r="1319">
      <x:c r="A1319" t="str">
        <x:v>ST-1343</x:v>
      </x:c>
      <x:c r="B1319" t="str">
        <x:v>Talk</x:v>
      </x:c>
      <x:c r="C1319" t="str">
        <x:v>Agent</x:v>
      </x:c>
      <x:c r="D1319" t="str">
        <x:v>AI Models / DeepSeek</x:v>
      </x:c>
      <x:c r="E1319" t="str">
        <x:v>DeepSeek; inference speed; efficiency; open models; benchmarking</x:v>
      </x:c>
      <x:c r="F1319" t="str">
        <x:v>English</x:v>
      </x:c>
      <x:c r="G1319" t="str">
        <x:v>DeepSeek Is INSANELY Fast</x:v>
      </x:c>
      <x:c r="H1319" t="str">
        <x:v>Matthew Berman</x:v>
      </x:c>
      <x:c r="I1319" t="str">
        <x:v>Matthew Berman</x:v>
      </x:c>
      <x:c r="J1319" t="str">
        <x:v>Model Explainer</x:v>
      </x:c>
      <x:c r="K1319" s="148" t="n">
        <x:v>10</x:v>
      </x:c>
      <x:c r="L1319" t="str">
        <x:v>https://www.youtube.com/watch?v=gk6uuwmFVq8</x:v>
      </x:c>
      <x:c r="M1319" t="str">
        <x:v>YouTube</x:v>
      </x:c>
      <x:c r="N1319" s="150" t="n">
        <x:v>0</x:v>
      </x:c>
      <x:c r="O1319" t="str">
        <x:v>B | Independent Technical Creator</x:v>
      </x:c>
      <x:c r="P1319" t="str">
        <x:v>Reserve</x:v>
      </x:c>
      <x:c r="Q1319" t="str">
        <x:v>Verified</x:v>
      </x:c>
      <x:c r="R1319" s="142" t="n">
        <x:v>46278</x:v>
      </x:c>
      <x:c r="S1319" t="str">
        <x:v>Independent performance-focused overview of DeepSeek inference speed.</x:v>
      </x:c>
      <x:c r="T1319" t="str">
        <x:v>gk6uuwmFVq8</x:v>
      </x:c>
      <x:c r="U1319" t="str"/>
      <x:c r="V1319" s="555" t="str"/>
      <x:c r="W1319" t="str"/>
    </x:row>
    <x:row r="1320">
      <x:c r="A1320" t="str">
        <x:v>ST-1344</x:v>
      </x:c>
      <x:c r="B1320" t="str">
        <x:v>Course</x:v>
      </x:c>
      <x:c r="C1320" t="str">
        <x:v>Agent</x:v>
      </x:c>
      <x:c r="D1320" t="str">
        <x:v>AI Agents / Small Models</x:v>
      </x:c>
      <x:c r="E1320" t="str">
        <x:v>small language models; 4B; agent runtime; local inference; tools</x:v>
      </x:c>
      <x:c r="F1320" t="str">
        <x:v>English</x:v>
      </x:c>
      <x:c r="G1320" t="str">
        <x:v>This 4B AI Model Can Run Full AI Agents</x:v>
      </x:c>
      <x:c r="H1320" t="str">
        <x:v>Julian Goldie</x:v>
      </x:c>
      <x:c r="I1320" t="str">
        <x:v>Julian Goldie Agency</x:v>
      </x:c>
      <x:c r="J1320" t="str">
        <x:v>Deployment Tutorial</x:v>
      </x:c>
      <x:c r="K1320" s="148" t="n">
        <x:v>7</x:v>
      </x:c>
      <x:c r="L1320" t="str">
        <x:v>https://www.youtube.com/watch?v=WuICWvFHgzM</x:v>
      </x:c>
      <x:c r="M1320" t="str">
        <x:v>YouTube</x:v>
      </x:c>
      <x:c r="N1320" s="150" t="n">
        <x:v>0</x:v>
      </x:c>
      <x:c r="O1320" t="str">
        <x:v>B | Independent Technical Creator</x:v>
      </x:c>
      <x:c r="P1320" t="str">
        <x:v>Reserve</x:v>
      </x:c>
      <x:c r="Q1320" t="str">
        <x:v>Verified</x:v>
      </x:c>
      <x:c r="R1320" s="142" t="n">
        <x:v>46278</x:v>
      </x:c>
      <x:c r="S1320" t="str">
        <x:v>Practical demo of running tool-using agents with a compact local model.</x:v>
      </x:c>
      <x:c r="T1320" t="str">
        <x:v>WuICWvFHgzM</x:v>
      </x:c>
      <x:c r="U1320" t="str"/>
      <x:c r="V1320" s="555" t="str"/>
      <x:c r="W1320" t="str"/>
    </x:row>
    <x:row r="1321">
      <x:c r="A1321" t="str">
        <x:v>ST-1345</x:v>
      </x:c>
      <x:c r="B1321" t="str">
        <x:v>Talk</x:v>
      </x:c>
      <x:c r="C1321" t="str">
        <x:v>Agent</x:v>
      </x:c>
      <x:c r="D1321" t="str">
        <x:v>AI Models / Gemini</x:v>
      </x:c>
      <x:c r="E1321" t="str">
        <x:v>Gemini; model updates; agents; multimodal AI; Google</x:v>
      </x:c>
      <x:c r="F1321" t="str">
        <x:v>English</x:v>
      </x:c>
      <x:c r="G1321" t="str">
        <x:v>Google Gemini New Updates Are WILD!</x:v>
      </x:c>
      <x:c r="H1321" t="str">
        <x:v>Julian Goldie</x:v>
      </x:c>
      <x:c r="I1321" t="str">
        <x:v>Julian Goldie Agency</x:v>
      </x:c>
      <x:c r="J1321" t="str">
        <x:v>Research Commentary</x:v>
      </x:c>
      <x:c r="K1321" s="148" t="n">
        <x:v>9</x:v>
      </x:c>
      <x:c r="L1321" t="str">
        <x:v>https://www.youtube.com/watch?v=GqeZmBwx4e0</x:v>
      </x:c>
      <x:c r="M1321" t="str">
        <x:v>YouTube</x:v>
      </x:c>
      <x:c r="N1321" s="150" t="n">
        <x:v>0</x:v>
      </x:c>
      <x:c r="O1321" t="str">
        <x:v>B | Independent Technical Creator</x:v>
      </x:c>
      <x:c r="P1321" t="str">
        <x:v>Reserve</x:v>
      </x:c>
      <x:c r="Q1321" t="str">
        <x:v>Verified</x:v>
      </x:c>
      <x:c r="R1321" s="142" t="n">
        <x:v>46278</x:v>
      </x:c>
      <x:c r="S1321" t="str">
        <x:v>Independent roundup of Gemini updates affecting multimodal and agent workflows.</x:v>
      </x:c>
      <x:c r="T1321" t="str">
        <x:v>GqeZmBwx4e0</x:v>
      </x:c>
      <x:c r="U1321" t="str"/>
      <x:c r="V1321" s="555" t="str"/>
      <x:c r="W1321" t="str"/>
    </x:row>
    <x:row r="1322">
      <x:c r="A1322" t="str">
        <x:v>ST-1346</x:v>
      </x:c>
      <x:c r="B1322" t="str">
        <x:v>Talk</x:v>
      </x:c>
      <x:c r="C1322" t="str">
        <x:v>World Model</x:v>
      </x:c>
      <x:c r="D1322" t="str">
        <x:v>World Models / Interactive Simulation</x:v>
      </x:c>
      <x:c r="E1322" t="str">
        <x:v>ChatGPT Astra; Minecraft; interactive worlds; agents; simulation</x:v>
      </x:c>
      <x:c r="F1322" t="str">
        <x:v>English</x:v>
      </x:c>
      <x:c r="G1322" t="str">
        <x:v>ChatGPT Astra Makes Minecraft</x:v>
      </x:c>
      <x:c r="H1322" t="str">
        <x:v>Sabrina Ramonov</x:v>
      </x:c>
      <x:c r="I1322" t="str">
        <x:v>Sabrina Ramonov</x:v>
      </x:c>
      <x:c r="J1322" t="str">
        <x:v>Research Demo</x:v>
      </x:c>
      <x:c r="K1322" s="148" t="n">
        <x:v>8</x:v>
      </x:c>
      <x:c r="L1322" t="str">
        <x:v>https://www.youtube.com/watch?v=LNFGf5w99Gs</x:v>
      </x:c>
      <x:c r="M1322" t="str">
        <x:v>YouTube</x:v>
      </x:c>
      <x:c r="N1322" s="150" t="n">
        <x:v>0</x:v>
      </x:c>
      <x:c r="O1322" t="str">
        <x:v>B | Independent Technical Creator</x:v>
      </x:c>
      <x:c r="P1322" t="str">
        <x:v>Reserve</x:v>
      </x:c>
      <x:c r="Q1322" t="str">
        <x:v>Verified</x:v>
      </x:c>
      <x:c r="R1322" s="142" t="n">
        <x:v>46278</x:v>
      </x:c>
      <x:c r="S1322" t="str">
        <x:v>Demo exploring an agent’s interaction with a game-like environment.</x:v>
      </x:c>
      <x:c r="T1322" t="str">
        <x:v>LNFGf5w99Gs</x:v>
      </x:c>
      <x:c r="U1322" t="str"/>
      <x:c r="V1322" s="555" t="str"/>
      <x:c r="W1322" t="str"/>
    </x:row>
    <x:row r="1323">
      <x:c r="A1323" t="str">
        <x:v>ST-1347</x:v>
      </x:c>
      <x:c r="B1323" t="str">
        <x:v>Talk</x:v>
      </x:c>
      <x:c r="C1323" t="str">
        <x:v>Agent</x:v>
      </x:c>
      <x:c r="D1323" t="str">
        <x:v>AI Agents / Productive Autonomy</x:v>
      </x:c>
      <x:c r="E1323" t="str">
        <x:v>GPT-6 Astra; agent autonomy; oversight; productivity; OpenAI</x:v>
      </x:c>
      <x:c r="F1323" t="str">
        <x:v>English</x:v>
      </x:c>
      <x:c r="G1323" t="str">
        <x:v>GPT-6 Astra Needs Less Babysitting</x:v>
      </x:c>
      <x:c r="H1323" t="str">
        <x:v>OpenAI team</x:v>
      </x:c>
      <x:c r="I1323" t="str">
        <x:v>OpenAI</x:v>
      </x:c>
      <x:c r="J1323" t="str">
        <x:v>Product Talk</x:v>
      </x:c>
      <x:c r="K1323" s="148" t="n">
        <x:v>2</x:v>
      </x:c>
      <x:c r="L1323" t="str">
        <x:v>https://www.youtube.com/watch?v=SiJGdlmdUms</x:v>
      </x:c>
      <x:c r="M1323" t="str">
        <x:v>YouTube</x:v>
      </x:c>
      <x:c r="N1323" s="150" t="n">
        <x:v>0</x:v>
      </x:c>
      <x:c r="O1323" t="str">
        <x:v>A | Official / Original Creator / Organizer</x:v>
      </x:c>
      <x:c r="P1323" t="str">
        <x:v>Recommended</x:v>
      </x:c>
      <x:c r="Q1323" t="str">
        <x:v>Verified</x:v>
      </x:c>
      <x:c r="R1323" s="142" t="n">
        <x:v>46278</x:v>
      </x:c>
      <x:c r="S1323" t="str">
        <x:v>Official OpenAI short on reduced supervision requirements for a newer agentic model.</x:v>
      </x:c>
      <x:c r="T1323" t="str">
        <x:v>SiJGdlmdUms</x:v>
      </x:c>
      <x:c r="U1323" t="str"/>
      <x:c r="V1323" s="555" t="str"/>
      <x:c r="W1323" t="str"/>
    </x:row>
    <x:row r="1324">
      <x:c r="A1324" t="str">
        <x:v>ST-1348</x:v>
      </x:c>
      <x:c r="B1324" t="str">
        <x:v>Talk</x:v>
      </x:c>
      <x:c r="C1324" t="str">
        <x:v>Vision</x:v>
      </x:c>
      <x:c r="D1324" t="str">
        <x:v>Vision / Image Generation</x:v>
      </x:c>
      <x:c r="E1324" t="str">
        <x:v>ChatGPT Images; image generation; multimodal; product update</x:v>
      </x:c>
      <x:c r="F1324" t="str">
        <x:v>English</x:v>
      </x:c>
      <x:c r="G1324" t="str">
        <x:v>New ChatGPT Images 2.5 Is CRAZY!</x:v>
      </x:c>
      <x:c r="H1324" t="str">
        <x:v>Julian Goldie</x:v>
      </x:c>
      <x:c r="I1324" t="str">
        <x:v>Julian Goldie Agency</x:v>
      </x:c>
      <x:c r="J1324" t="str">
        <x:v>Product Demo</x:v>
      </x:c>
      <x:c r="K1324" s="148" t="n">
        <x:v>8</x:v>
      </x:c>
      <x:c r="L1324" t="str">
        <x:v>https://www.youtube.com/watch?v=AqnV04414YY</x:v>
      </x:c>
      <x:c r="M1324" t="str">
        <x:v>YouTube</x:v>
      </x:c>
      <x:c r="N1324" s="150" t="n">
        <x:v>0</x:v>
      </x:c>
      <x:c r="O1324" t="str">
        <x:v>B | Independent Technical Creator</x:v>
      </x:c>
      <x:c r="P1324" t="str">
        <x:v>Reserve</x:v>
      </x:c>
      <x:c r="Q1324" t="str">
        <x:v>Verified</x:v>
      </x:c>
      <x:c r="R1324" s="142" t="n">
        <x:v>46278</x:v>
      </x:c>
      <x:c r="S1324" t="str">
        <x:v>Independent demo of current image-generation capabilities.</x:v>
      </x:c>
      <x:c r="T1324" t="str">
        <x:v>AqnV04414YY</x:v>
      </x:c>
      <x:c r="U1324" t="str"/>
      <x:c r="V1324" s="555" t="str"/>
      <x:c r="W1324" t="str"/>
    </x:row>
    <x:row r="1325">
      <x:c r="A1325" t="str">
        <x:v>ST-1349</x:v>
      </x:c>
      <x:c r="B1325" t="str">
        <x:v>Course</x:v>
      </x:c>
      <x:c r="C1325" t="str">
        <x:v>Agent</x:v>
      </x:c>
      <x:c r="D1325" t="str">
        <x:v>AI Agents / Agent Operating Systems</x:v>
      </x:c>
      <x:c r="E1325" t="str">
        <x:v>GPT-6 Astra; Agent OS; orchestration; automation; local agents</x:v>
      </x:c>
      <x:c r="F1325" t="str">
        <x:v>English</x:v>
      </x:c>
      <x:c r="G1325" t="str">
        <x:v>GPT-6 Astra Is a Game Changer for Building AI Agents</x:v>
      </x:c>
      <x:c r="H1325" t="str">
        <x:v>Julian Goldie</x:v>
      </x:c>
      <x:c r="I1325" t="str">
        <x:v>Julian Goldie Agency</x:v>
      </x:c>
      <x:c r="J1325" t="str">
        <x:v>Tutorial / Walkthrough</x:v>
      </x:c>
      <x:c r="K1325" s="148" t="n">
        <x:v>8</x:v>
      </x:c>
      <x:c r="L1325" t="str">
        <x:v>https://www.youtube.com/watch?v=LMoSPt7x-jA</x:v>
      </x:c>
      <x:c r="M1325" t="str">
        <x:v>YouTube</x:v>
      </x:c>
      <x:c r="N1325" s="150" t="n">
        <x:v>0</x:v>
      </x:c>
      <x:c r="O1325" t="str">
        <x:v>B | Independent Technical Creator</x:v>
      </x:c>
      <x:c r="P1325" t="str">
        <x:v>Reserve</x:v>
      </x:c>
      <x:c r="Q1325" t="str">
        <x:v>Verified</x:v>
      </x:c>
      <x:c r="R1325" s="142" t="n">
        <x:v>46278</x:v>
      </x:c>
      <x:c r="S1325" t="str">
        <x:v>Walkthrough of using a new frontier model in agent-building workflows.</x:v>
      </x:c>
      <x:c r="T1325" t="str">
        <x:v>LMoSPt7x-jA</x:v>
      </x:c>
      <x:c r="U1325" t="str"/>
      <x:c r="V1325" s="555" t="str"/>
      <x:c r="W1325" t="str"/>
    </x:row>
    <x:row r="1326">
      <x:c r="A1326" t="str">
        <x:v>ST-1350</x:v>
      </x:c>
      <x:c r="B1326" t="str">
        <x:v>Course</x:v>
      </x:c>
      <x:c r="C1326" t="str">
        <x:v>Agent</x:v>
      </x:c>
      <x:c r="D1326" t="str">
        <x:v>AI Agents / Agent Operating Systems</x:v>
      </x:c>
      <x:c r="E1326" t="str">
        <x:v>Agent OS; GPT-6 Astra; automation; local deployment</x:v>
      </x:c>
      <x:c r="F1326" t="str">
        <x:v>English</x:v>
      </x:c>
      <x:c r="G1326" t="str">
        <x:v>Build Your Own AI Agent OS in Seconds with Astra</x:v>
      </x:c>
      <x:c r="H1326" t="str">
        <x:v>Julian Goldie</x:v>
      </x:c>
      <x:c r="I1326" t="str">
        <x:v>Julian Goldie Agency</x:v>
      </x:c>
      <x:c r="J1326" t="str">
        <x:v>Tutorial / Walkthrough</x:v>
      </x:c>
      <x:c r="K1326" s="148" t="n">
        <x:v>7</x:v>
      </x:c>
      <x:c r="L1326" t="str">
        <x:v>https://www.youtube.com/watch?v=Y3cCxsG50fw</x:v>
      </x:c>
      <x:c r="M1326" t="str">
        <x:v>YouTube</x:v>
      </x:c>
      <x:c r="N1326" s="150" t="n">
        <x:v>0</x:v>
      </x:c>
      <x:c r="O1326" t="str">
        <x:v>B | Independent Technical Creator</x:v>
      </x:c>
      <x:c r="P1326" t="str">
        <x:v>Reserve</x:v>
      </x:c>
      <x:c r="Q1326" t="str">
        <x:v>Verified</x:v>
      </x:c>
      <x:c r="R1326" s="142" t="n">
        <x:v>46278</x:v>
      </x:c>
      <x:c r="S1326" t="str">
        <x:v>Rapid build tutorial for an agent operating system.</x:v>
      </x:c>
      <x:c r="T1326" t="str">
        <x:v>Y3cCxsG50fw</x:v>
      </x:c>
      <x:c r="U1326" t="str"/>
      <x:c r="V1326" s="555" t="str"/>
      <x:c r="W1326" t="str"/>
    </x:row>
    <x:row r="1327">
      <x:c r="A1327" t="str">
        <x:v>ST-1351</x:v>
      </x:c>
      <x:c r="B1327" t="str">
        <x:v>Talk</x:v>
      </x:c>
      <x:c r="C1327" t="str">
        <x:v>World Model</x:v>
      </x:c>
      <x:c r="D1327" t="str">
        <x:v>World Models / Embodied Simulation</x:v>
      </x:c>
      <x:c r="E1327" t="str">
        <x:v>fruit fly; simulated agents; navigation; embodied intelligence; reinforcement learning</x:v>
      </x:c>
      <x:c r="F1327" t="str">
        <x:v>English</x:v>
      </x:c>
      <x:c r="G1327" t="str">
        <x:v>A Simulated Fruit Fly Tries to Solve a Rubik’s Cube</x:v>
      </x:c>
      <x:c r="H1327" t="str">
        <x:v>Matthew Berman</x:v>
      </x:c>
      <x:c r="I1327" t="str">
        <x:v>Matthew Berman</x:v>
      </x:c>
      <x:c r="J1327" t="str">
        <x:v>Research Explainer</x:v>
      </x:c>
      <x:c r="K1327" s="148" t="n">
        <x:v>9</x:v>
      </x:c>
      <x:c r="L1327" t="str">
        <x:v>https://www.youtube.com/watch?v=IUNrqVtp51U</x:v>
      </x:c>
      <x:c r="M1327" t="str">
        <x:v>YouTube</x:v>
      </x:c>
      <x:c r="N1327" s="150" t="n">
        <x:v>0</x:v>
      </x:c>
      <x:c r="O1327" t="str">
        <x:v>B | Independent Technical Creator</x:v>
      </x:c>
      <x:c r="P1327" t="str">
        <x:v>Recommended</x:v>
      </x:c>
      <x:c r="Q1327" t="str">
        <x:v>Verified</x:v>
      </x:c>
      <x:c r="R1327" s="142" t="n">
        <x:v>46278</x:v>
      </x:c>
      <x:c r="S1327" t="str">
        <x:v>Research explainer using a simulated insect agent to illustrate learned behavior in a virtual environment.</x:v>
      </x:c>
      <x:c r="T1327" t="str">
        <x:v>IUNrqVtp51U</x:v>
      </x:c>
      <x:c r="U1327" t="str"/>
      <x:c r="V1327" s="555" t="str"/>
      <x:c r="W1327" t="str"/>
    </x:row>
    <x:row r="1328">
      <x:c r="A1328" t="str">
        <x:v>ST-1352</x:v>
      </x:c>
      <x:c r="B1328" t="str">
        <x:v>Interview</x:v>
      </x:c>
      <x:c r="C1328" t="str">
        <x:v>Agent</x:v>
      </x:c>
      <x:c r="D1328" t="str">
        <x:v>AI Research / Scientific Practice</x:v>
      </x:c>
      <x:c r="E1328" t="str">
        <x:v>scientific taste; research practice; AI scientists; machine learning research</x:v>
      </x:c>
      <x:c r="F1328" t="str">
        <x:v>English</x:v>
      </x:c>
      <x:c r="G1328" t="str">
        <x:v>Why Scientific Taste Must Be Learned Through Practice — Edward Hughes</x:v>
      </x:c>
      <x:c r="H1328" t="str">
        <x:v>Edward Hughes</x:v>
      </x:c>
      <x:c r="I1328" t="str">
        <x:v>Machine Learning Street Talk</x:v>
      </x:c>
      <x:c r="J1328" t="str">
        <x:v>Research Interview</x:v>
      </x:c>
      <x:c r="K1328" s="148" t="n">
        <x:v>83</x:v>
      </x:c>
      <x:c r="L1328" t="str">
        <x:v>https://www.youtube.com/watch?v=P4bYjTJvD28</x:v>
      </x:c>
      <x:c r="M1328" t="str">
        <x:v>YouTube</x:v>
      </x:c>
      <x:c r="N1328" s="150" t="n">
        <x:v>0</x:v>
      </x:c>
      <x:c r="O1328" t="str">
        <x:v>A | Official / Original Creator / Organizer</x:v>
      </x:c>
      <x:c r="P1328" t="str">
        <x:v>Core</x:v>
      </x:c>
      <x:c r="Q1328" t="str">
        <x:v>Verified</x:v>
      </x:c>
      <x:c r="R1328" s="142" t="n">
        <x:v>46278</x:v>
      </x:c>
      <x:c r="S1328" t="str">
        <x:v>Long-form interview about scientific taste, experimental practice, and how agents might support research.</x:v>
      </x:c>
      <x:c r="T1328" t="str">
        <x:v>P4bYjTJvD28</x:v>
      </x:c>
      <x:c r="U1328" t="str">
        <x:v>Machine Learning Street Talk Interviews</x:v>
      </x:c>
      <x:c r="V1328" s="555" t="n">
        <x:v>20260911</x:v>
      </x:c>
      <x:c r="W1328" t="str">
        <x:v>machine-learning-street-talk-interviews</x:v>
      </x:c>
    </x:row>
    <x:row r="1329">
      <x:c r="A1329" t="str">
        <x:v>ST-1353</x:v>
      </x:c>
      <x:c r="B1329" t="str">
        <x:v>Talk</x:v>
      </x:c>
      <x:c r="C1329" t="str">
        <x:v>World Model</x:v>
      </x:c>
      <x:c r="D1329" t="str">
        <x:v>World Models / Reinforcement Learning</x:v>
      </x:c>
      <x:c r="E1329" t="str">
        <x:v>predictive representations; memory; continual reinforcement learning; Cohere; world models</x:v>
      </x:c>
      <x:c r="F1329" t="str">
        <x:v>English</x:v>
      </x:c>
      <x:c r="G1329" t="str">
        <x:v>Predictive Representations and Memory for Continual Reinforcement Learning</x:v>
      </x:c>
      <x:c r="H1329" t="str">
        <x:v>Raymond Chua</x:v>
      </x:c>
      <x:c r="I1329" t="str">
        <x:v>Cohere</x:v>
      </x:c>
      <x:c r="J1329" t="str">
        <x:v>Research Talk</x:v>
      </x:c>
      <x:c r="K1329" s="148" t="n">
        <x:v>89</x:v>
      </x:c>
      <x:c r="L1329" t="str">
        <x:v>https://www.youtube.com/watch?v=GRW48KGRDuQ</x:v>
      </x:c>
      <x:c r="M1329" t="str">
        <x:v>YouTube</x:v>
      </x:c>
      <x:c r="N1329" s="150" t="n">
        <x:v>0</x:v>
      </x:c>
      <x:c r="O1329" t="str">
        <x:v>A | Official / Original Creator / Organizer</x:v>
      </x:c>
      <x:c r="P1329" t="str">
        <x:v>Core</x:v>
      </x:c>
      <x:c r="Q1329" t="str">
        <x:v>Verified</x:v>
      </x:c>
      <x:c r="R1329" s="142" t="n">
        <x:v>46278</x:v>
      </x:c>
      <x:c r="S1329" t="str">
        <x:v>Cohere research talk on predictive representations and memory for continual RL, with direct relevance to world-model agents.</x:v>
      </x:c>
      <x:c r="T1329" t="str">
        <x:v>GRW48KGRDuQ</x:v>
      </x:c>
      <x:c r="U1329" t="str"/>
      <x:c r="V1329" s="555" t="str"/>
      <x:c r="W1329" t="str"/>
    </x:row>
    <x:row r="1330">
      <x:c r="A1330" t="str">
        <x:v>ST-1354</x:v>
      </x:c>
      <x:c r="B1330" t="str">
        <x:v>Interview</x:v>
      </x:c>
      <x:c r="C1330" t="str">
        <x:v>Agent</x:v>
      </x:c>
      <x:c r="D1330" t="str">
        <x:v>AI Agents / Voice and Language</x:v>
      </x:c>
      <x:c r="E1330" t="str">
        <x:v>voice agents; Asian languages; speech; multilingual AI; deployment</x:v>
      </x:c>
      <x:c r="F1330" t="str">
        <x:v>English</x:v>
      </x:c>
      <x:c r="G1330" t="str">
        <x:v>Building Voice Agents for Asian Languages: Applied Learnings</x:v>
      </x:c>
      <x:c r="H1330" t="str">
        <x:v>Suneel Sunkara</x:v>
      </x:c>
      <x:c r="I1330" t="str">
        <x:v>Cohere</x:v>
      </x:c>
      <x:c r="J1330" t="str">
        <x:v>Research Interview</x:v>
      </x:c>
      <x:c r="K1330" s="148" t="n">
        <x:v>42</x:v>
      </x:c>
      <x:c r="L1330" t="str">
        <x:v>https://www.youtube.com/watch?v=LAras_wsxis</x:v>
      </x:c>
      <x:c r="M1330" t="str">
        <x:v>YouTube</x:v>
      </x:c>
      <x:c r="N1330" s="150" t="n">
        <x:v>0</x:v>
      </x:c>
      <x:c r="O1330" t="str">
        <x:v>A | Official / Original Creator / Organizer</x:v>
      </x:c>
      <x:c r="P1330" t="str">
        <x:v>Recommended</x:v>
      </x:c>
      <x:c r="Q1330" t="str">
        <x:v>Verified</x:v>
      </x:c>
      <x:c r="R1330" s="142" t="n">
        <x:v>46278</x:v>
      </x:c>
      <x:c r="S1330" t="str">
        <x:v>Cohere interview on building and deploying voice agents for Asian languages.</x:v>
      </x:c>
      <x:c r="T1330" t="str">
        <x:v>LAras_wsxis</x:v>
      </x:c>
      <x:c r="U1330" t="str"/>
      <x:c r="V1330" s="555" t="str"/>
      <x:c r="W1330" t="str"/>
    </x:row>
    <x:row r="1331">
      <x:c r="A1331" t="str">
        <x:v>ST-1355</x:v>
      </x:c>
      <x:c r="B1331" t="str">
        <x:v>Course</x:v>
      </x:c>
      <x:c r="C1331" t="str">
        <x:v>Agent</x:v>
      </x:c>
      <x:c r="D1331" t="str">
        <x:v>AI Agents / Agent Engineering</x:v>
      </x:c>
      <x:c r="E1331" t="str">
        <x:v>agent harness; tool use; evaluation; LangChain; agent engineering</x:v>
      </x:c>
      <x:c r="F1331" t="str">
        <x:v>English</x:v>
      </x:c>
      <x:c r="G1331" t="str">
        <x:v>What Is an Agent Harness? Explained Fast</x:v>
      </x:c>
      <x:c r="H1331" t="str">
        <x:v>LangChain team</x:v>
      </x:c>
      <x:c r="I1331" t="str">
        <x:v>LangChain</x:v>
      </x:c>
      <x:c r="J1331" t="str">
        <x:v>Course Explainer</x:v>
      </x:c>
      <x:c r="K1331" s="148" t="n">
        <x:v>4</x:v>
      </x:c>
      <x:c r="L1331" t="str">
        <x:v>https://www.youtube.com/watch?v=7dFvU9zuv0k</x:v>
      </x:c>
      <x:c r="M1331" t="str">
        <x:v>YouTube</x:v>
      </x:c>
      <x:c r="N1331" s="150" t="n">
        <x:v>0</x:v>
      </x:c>
      <x:c r="O1331" t="str">
        <x:v>A | Official / Original Creator / Organizer</x:v>
      </x:c>
      <x:c r="P1331" t="str">
        <x:v>Core</x:v>
      </x:c>
      <x:c r="Q1331" t="str">
        <x:v>Verified</x:v>
      </x:c>
      <x:c r="R1331" s="142" t="n">
        <x:v>46278</x:v>
      </x:c>
      <x:c r="S1331" t="str">
        <x:v>Official concise explanation of the harness layer that runs, evaluates, and constrains agents.</x:v>
      </x:c>
      <x:c r="T1331" t="str">
        <x:v>7dFvU9zuv0k</x:v>
      </x:c>
      <x:c r="U1331" t="str"/>
      <x:c r="V1331" s="555" t="str"/>
      <x:c r="W1331" t="str"/>
    </x:row>
    <x:row r="1332">
      <x:c r="A1332" t="str">
        <x:v>ST-1356</x:v>
      </x:c>
      <x:c r="B1332" t="str">
        <x:v>Talk</x:v>
      </x:c>
      <x:c r="C1332" t="str">
        <x:v>Agent</x:v>
      </x:c>
      <x:c r="D1332" t="str">
        <x:v>AI Agents / Frontier Models</x:v>
      </x:c>
      <x:c r="E1332" t="str">
        <x:v>GPT-Live-1; API; real-time agents; OpenAI; multimodal</x:v>
      </x:c>
      <x:c r="F1332" t="str">
        <x:v>English</x:v>
      </x:c>
      <x:c r="G1332" t="str">
        <x:v>GPT-Live-1 Is Now in the API</x:v>
      </x:c>
      <x:c r="H1332" t="str">
        <x:v>OpenAI team</x:v>
      </x:c>
      <x:c r="I1332" t="str">
        <x:v>OpenAI</x:v>
      </x:c>
      <x:c r="J1332" t="str">
        <x:v>Product Talk</x:v>
      </x:c>
      <x:c r="K1332" s="148" t="n">
        <x:v>2</x:v>
      </x:c>
      <x:c r="L1332" t="str">
        <x:v>https://www.youtube.com/watch?v=OSaP6bJoU44</x:v>
      </x:c>
      <x:c r="M1332" t="str">
        <x:v>YouTube</x:v>
      </x:c>
      <x:c r="N1332" s="150" t="n">
        <x:v>0</x:v>
      </x:c>
      <x:c r="O1332" t="str">
        <x:v>A | Official / Original Creator / Organizer</x:v>
      </x:c>
      <x:c r="P1332" t="str">
        <x:v>Recommended</x:v>
      </x:c>
      <x:c r="Q1332" t="str">
        <x:v>Verified</x:v>
      </x:c>
      <x:c r="R1332" s="142" t="n">
        <x:v>46278</x:v>
      </x:c>
      <x:c r="S1332" t="str">
        <x:v>Official API announcement for GPT-Live-1 and real-time agent applications.</x:v>
      </x:c>
      <x:c r="T1332" t="str">
        <x:v>OSaP6bJoU44</x:v>
      </x:c>
      <x:c r="U1332" t="str"/>
      <x:c r="V1332" s="555" t="str"/>
      <x:c r="W1332" t="str"/>
    </x:row>
    <x:row r="1333">
      <x:c r="A1333" t="str">
        <x:v>ST-1357</x:v>
      </x:c>
      <x:c r="B1333" t="str">
        <x:v>Talk</x:v>
      </x:c>
      <x:c r="C1333" t="str">
        <x:v>Agent</x:v>
      </x:c>
      <x:c r="D1333" t="str">
        <x:v>AI Agents / Software Engineering</x:v>
      </x:c>
      <x:c r="E1333" t="str">
        <x:v>code agents; external code scanning; software security; evaluation</x:v>
      </x:c>
      <x:c r="F1333" t="str">
        <x:v>English</x:v>
      </x:c>
      <x:c r="G1333" t="str">
        <x:v>New AI Models Can Scan Your Code From the Outside</x:v>
      </x:c>
      <x:c r="H1333" t="str">
        <x:v>Eye on AI</x:v>
      </x:c>
      <x:c r="I1333" t="str">
        <x:v>Eye on AI</x:v>
      </x:c>
      <x:c r="J1333" t="str">
        <x:v>Technical Explainer</x:v>
      </x:c>
      <x:c r="K1333" s="148" t="n">
        <x:v>13</x:v>
      </x:c>
      <x:c r="L1333" t="str">
        <x:v>https://www.youtube.com/watch?v=m-7JWoIjcr8</x:v>
      </x:c>
      <x:c r="M1333" t="str">
        <x:v>YouTube</x:v>
      </x:c>
      <x:c r="N1333" s="150" t="n">
        <x:v>0</x:v>
      </x:c>
      <x:c r="O1333" t="str">
        <x:v>B | Independent Technical Creator</x:v>
      </x:c>
      <x:c r="P1333" t="str">
        <x:v>Recommended</x:v>
      </x:c>
      <x:c r="Q1333" t="str">
        <x:v>Verified</x:v>
      </x:c>
      <x:c r="R1333" s="142" t="n">
        <x:v>46278</x:v>
      </x:c>
      <x:c r="S1333" t="str">
        <x:v>Explainer of external repository analysis and its implications for coding-agent workflows.</x:v>
      </x:c>
      <x:c r="T1333" t="str">
        <x:v>m-7JWoIjcr8</x:v>
      </x:c>
      <x:c r="U1333" t="str"/>
      <x:c r="V1333" s="555" t="str"/>
      <x:c r="W1333" t="str"/>
    </x:row>
    <x:row r="1334">
      <x:c r="A1334" t="str">
        <x:v>ST-1358</x:v>
      </x:c>
      <x:c r="B1334" t="str">
        <x:v>Course</x:v>
      </x:c>
      <x:c r="C1334" t="str">
        <x:v>Agent</x:v>
      </x:c>
      <x:c r="D1334" t="str">
        <x:v>AI Agents / Local Coding</x:v>
      </x:c>
      <x:c r="E1334" t="str">
        <x:v>DeepSeek; OpenCode; coding agents; frontend; local inference</x:v>
      </x:c>
      <x:c r="F1334" t="str">
        <x:v>English</x:v>
      </x:c>
      <x:c r="G1334" t="str">
        <x:v>DeepSeek V4.1 Flash First Test: Coding with OpenCode and Agents</x:v>
      </x:c>
      <x:c r="H1334" t="str">
        <x:v>Venelin Valkov</x:v>
      </x:c>
      <x:c r="I1334" t="str">
        <x:v>Venelin Valkov</x:v>
      </x:c>
      <x:c r="J1334" t="str">
        <x:v>Technical Walkthrough</x:v>
      </x:c>
      <x:c r="K1334" s="148" t="n">
        <x:v>24</x:v>
      </x:c>
      <x:c r="L1334" t="str">
        <x:v>https://www.youtube.com/watch?v=uIhE8lqprtE</x:v>
      </x:c>
      <x:c r="M1334" t="str">
        <x:v>YouTube</x:v>
      </x:c>
      <x:c r="N1334" s="150" t="n">
        <x:v>0</x:v>
      </x:c>
      <x:c r="O1334" t="str">
        <x:v>B | Independent Technical Creator</x:v>
      </x:c>
      <x:c r="P1334" t="str">
        <x:v>Recommended</x:v>
      </x:c>
      <x:c r="Q1334" t="str">
        <x:v>Verified</x:v>
      </x:c>
      <x:c r="R1334" s="142" t="n">
        <x:v>46278</x:v>
      </x:c>
      <x:c r="S1334" t="str">
        <x:v>Hands-on coding and frontend test of a current DeepSeek model in an agentic workflow.</x:v>
      </x:c>
      <x:c r="T1334" t="str">
        <x:v>uIhE8lqprtE</x:v>
      </x:c>
      <x:c r="U1334" t="str"/>
      <x:c r="V1334" s="555" t="str"/>
      <x:c r="W1334" t="str"/>
    </x:row>
    <x:row r="1335">
      <x:c r="A1335" t="str">
        <x:v>ST-1359</x:v>
      </x:c>
      <x:c r="B1335" t="str">
        <x:v>Course</x:v>
      </x:c>
      <x:c r="C1335" t="str">
        <x:v>Agent</x:v>
      </x:c>
      <x:c r="D1335" t="str">
        <x:v>AI Engineering / Production</x:v>
      </x:c>
      <x:c r="E1335" t="str">
        <x:v>AI engineering; production; deployment; observability; agents</x:v>
      </x:c>
      <x:c r="F1335" t="str">
        <x:v>English</x:v>
      </x:c>
      <x:c r="G1335" t="str">
        <x:v>Announcing AI Engineering for Production</x:v>
      </x:c>
      <x:c r="H1335" t="str">
        <x:v>Louis-François Bouchard</x:v>
      </x:c>
      <x:c r="I1335" t="str">
        <x:v>What’s AI</x:v>
      </x:c>
      <x:c r="J1335" t="str">
        <x:v>Course Introduction</x:v>
      </x:c>
      <x:c r="K1335" s="148" t="n">
        <x:v>4</x:v>
      </x:c>
      <x:c r="L1335" t="str">
        <x:v>https://www.youtube.com/watch?v=ljJjFSrthHk</x:v>
      </x:c>
      <x:c r="M1335" t="str">
        <x:v>YouTube</x:v>
      </x:c>
      <x:c r="N1335" s="150" t="n">
        <x:v>0</x:v>
      </x:c>
      <x:c r="O1335" t="str">
        <x:v>B | Independent Technical Creator</x:v>
      </x:c>
      <x:c r="P1335" t="str">
        <x:v>Recommended</x:v>
      </x:c>
      <x:c r="Q1335" t="str">
        <x:v>Verified</x:v>
      </x:c>
      <x:c r="R1335" s="142" t="n">
        <x:v>46278</x:v>
      </x:c>
      <x:c r="S1335" t="str">
        <x:v>Course introduction focused on taking AI and agent prototypes into production.</x:v>
      </x:c>
      <x:c r="T1335" t="str">
        <x:v>ljJjFSrthHk</x:v>
      </x:c>
      <x:c r="U1335" t="str"/>
      <x:c r="V1335" s="555" t="str"/>
      <x:c r="W1335" t="str"/>
    </x:row>
    <x:row r="1336">
      <x:c r="A1336" t="str">
        <x:v>ST-1360</x:v>
      </x:c>
      <x:c r="B1336" t="str">
        <x:v>Course</x:v>
      </x:c>
      <x:c r="C1336" t="str">
        <x:v>Agent</x:v>
      </x:c>
      <x:c r="D1336" t="str">
        <x:v>AI Agents / Protocols</x:v>
      </x:c>
      <x:c r="E1336" t="str">
        <x:v>MCP; MCP Runner; agent communication; tools; H2O.ai</x:v>
      </x:c>
      <x:c r="F1336" t="str">
        <x:v>English</x:v>
      </x:c>
      <x:c r="G1336" t="str">
        <x:v>MCP &amp; MCP Runner: The Protocol Behind Agent Communication</x:v>
      </x:c>
      <x:c r="H1336" t="str">
        <x:v>H2O.ai team</x:v>
      </x:c>
      <x:c r="I1336" t="str">
        <x:v>H2O.ai</x:v>
      </x:c>
      <x:c r="J1336" t="str">
        <x:v>Technical Tutorial</x:v>
      </x:c>
      <x:c r="K1336" s="148" t="n">
        <x:v>16</x:v>
      </x:c>
      <x:c r="L1336" t="str">
        <x:v>https://www.youtube.com/watch?v=ZfrH98nojv4</x:v>
      </x:c>
      <x:c r="M1336" t="str">
        <x:v>YouTube</x:v>
      </x:c>
      <x:c r="N1336" s="150" t="n">
        <x:v>0</x:v>
      </x:c>
      <x:c r="O1336" t="str">
        <x:v>A | Official / Original Creator / Organizer</x:v>
      </x:c>
      <x:c r="P1336" t="str">
        <x:v>Core</x:v>
      </x:c>
      <x:c r="Q1336" t="str">
        <x:v>Verified</x:v>
      </x:c>
      <x:c r="R1336" s="142" t="n">
        <x:v>46278</x:v>
      </x:c>
      <x:c r="S1336" t="str">
        <x:v>Official technical tutorial on MCP and MCP Runner as a communication layer for tool-using agents.</x:v>
      </x:c>
      <x:c r="T1336" t="str">
        <x:v>ZfrH98nojv4</x:v>
      </x:c>
      <x:c r="U1336" t="str"/>
      <x:c r="V1336" s="555" t="str"/>
      <x:c r="W1336" t="str"/>
    </x:row>
    <x:row r="1337">
      <x:c r="A1337" t="str">
        <x:v>ST-1361</x:v>
      </x:c>
      <x:c r="B1337" t="str">
        <x:v>Interview</x:v>
      </x:c>
      <x:c r="C1337" t="str">
        <x:v>Robotics</x:v>
      </x:c>
      <x:c r="D1337" t="str">
        <x:v>Robotics / Embodied AI</x:v>
      </x:c>
      <x:c r="E1337" t="str">
        <x:v>embodied intelligence; robot learning; perception to action; open world; robotics</x:v>
      </x:c>
      <x:c r="F1337" t="str">
        <x:v>English</x:v>
      </x:c>
      <x:c r="G1337" t="str">
        <x:v>Open World Embodied Intelligence: Learning from Perception to Action in the Wild</x:v>
      </x:c>
      <x:c r="H1337" t="str">
        <x:v>Abhinav Valada</x:v>
      </x:c>
      <x:c r="I1337" t="str">
        <x:v>AI for Good</x:v>
      </x:c>
      <x:c r="J1337" t="str">
        <x:v>Research Talk</x:v>
      </x:c>
      <x:c r="K1337" s="148" t="n">
        <x:v>27</x:v>
      </x:c>
      <x:c r="L1337" t="str">
        <x:v>https://www.youtube.com/watch?v=mMV6tLGfgwk</x:v>
      </x:c>
      <x:c r="M1337" t="str">
        <x:v>YouTube</x:v>
      </x:c>
      <x:c r="N1337" s="150" t="n">
        <x:v>0</x:v>
      </x:c>
      <x:c r="O1337" t="str">
        <x:v>A | Official / Original Creator / Organizer</x:v>
      </x:c>
      <x:c r="P1337" t="str">
        <x:v>Core</x:v>
      </x:c>
      <x:c r="Q1337" t="str">
        <x:v>Verified</x:v>
      </x:c>
      <x:c r="R1337" s="142" t="n">
        <x:v>46278</x:v>
      </x:c>
      <x:c r="S1337" t="str">
        <x:v>Research talk on open-world embodied intelligence and learning the perception-to-action loop in real environments.</x:v>
      </x:c>
      <x:c r="T1337" t="str">
        <x:v>mMV6tLGfgwk</x:v>
      </x:c>
      <x:c r="U1337" t="str"/>
      <x:c r="V1337" s="555" t="str"/>
      <x:c r="W1337" t="str"/>
    </x:row>
    <x:row r="1338">
      <x:c r="A1338" t="str">
        <x:v>ST-1362</x:v>
      </x:c>
      <x:c r="B1338" t="str">
        <x:v>Course</x:v>
      </x:c>
      <x:c r="C1338" t="str">
        <x:v>Agent</x:v>
      </x:c>
      <x:c r="D1338" t="str">
        <x:v>AI Agents / Protocols</x:v>
      </x:c>
      <x:c r="E1338" t="str">
        <x:v>MCP; LLMs; data streams; Amsterdam JUG; Java; tools</x:v>
      </x:c>
      <x:c r="F1338" t="str">
        <x:v>English</x:v>
      </x:c>
      <x:c r="G1338" t="str">
        <x:v>The Missing Protocol: How MCP Bridges LLMs and Data Streams</x:v>
      </x:c>
      <x:c r="H1338" t="str">
        <x:v>Viktor Gamov</x:v>
      </x:c>
      <x:c r="I1338" t="str">
        <x:v>Amsterdam JUG</x:v>
      </x:c>
      <x:c r="J1338" t="str">
        <x:v>Technical Talk</x:v>
      </x:c>
      <x:c r="K1338" s="148" t="n">
        <x:v>55</x:v>
      </x:c>
      <x:c r="L1338" t="str">
        <x:v>https://www.youtube.com/watch?v=oEfHmHD-ov4</x:v>
      </x:c>
      <x:c r="M1338" t="str">
        <x:v>YouTube</x:v>
      </x:c>
      <x:c r="N1338" s="150" t="n">
        <x:v>0</x:v>
      </x:c>
      <x:c r="O1338" t="str">
        <x:v>A | Official / Original Creator / Organizer</x:v>
      </x:c>
      <x:c r="P1338" t="str">
        <x:v>Recommended</x:v>
      </x:c>
      <x:c r="Q1338" t="str">
        <x:v>Verified</x:v>
      </x:c>
      <x:c r="R1338" s="142" t="n">
        <x:v>46278</x:v>
      </x:c>
      <x:c r="S1338" t="str">
        <x:v>Developer-focused talk on connecting LLMs, data streams, and tools through MCP.</x:v>
      </x:c>
      <x:c r="T1338" t="str">
        <x:v>oEfHmHD-ov4</x:v>
      </x:c>
      <x:c r="U1338" t="str"/>
      <x:c r="V1338" s="555" t="str"/>
      <x:c r="W1338" t="str"/>
    </x:row>
    <x:row r="1339">
      <x:c r="A1339" t="str">
        <x:v>ST-1363</x:v>
      </x:c>
      <x:c r="B1339" t="str">
        <x:v>Interview</x:v>
      </x:c>
      <x:c r="C1339" t="str">
        <x:v>Agent</x:v>
      </x:c>
      <x:c r="D1339" t="str">
        <x:v>AI for Good / Digital Skills</x:v>
      </x:c>
      <x:c r="E1339" t="str">
        <x:v>AI access; digital skills; inclusion; ITU; AI for Good</x:v>
      </x:c>
      <x:c r="F1339" t="str">
        <x:v>English</x:v>
      </x:c>
      <x:c r="G1339" t="str">
        <x:v>Bridging the Global AI Gap and Digital Skills Divide</x:v>
      </x:c>
      <x:c r="H1339" t="str">
        <x:v>Cosmas Zavazava</x:v>
      </x:c>
      <x:c r="I1339" t="str">
        <x:v>AI for Good</x:v>
      </x:c>
      <x:c r="J1339" t="str">
        <x:v>Policy Interview</x:v>
      </x:c>
      <x:c r="K1339" s="148" t="n">
        <x:v>20</x:v>
      </x:c>
      <x:c r="L1339" t="str">
        <x:v>https://www.youtube.com/watch?v=R4uW5y1mjJQ</x:v>
      </x:c>
      <x:c r="M1339" t="str">
        <x:v>YouTube</x:v>
      </x:c>
      <x:c r="N1339" s="150" t="n">
        <x:v>0</x:v>
      </x:c>
      <x:c r="O1339" t="str">
        <x:v>A | Official / Original Creator / Organizer</x:v>
      </x:c>
      <x:c r="P1339" t="str">
        <x:v>Recommended</x:v>
      </x:c>
      <x:c r="Q1339" t="str">
        <x:v>Verified</x:v>
      </x:c>
      <x:c r="R1339" s="142" t="n">
        <x:v>46278</x:v>
      </x:c>
      <x:c r="S1339" t="str">
        <x:v>AI for Good interview on inclusive access, digital skills, and the global AI divide.</x:v>
      </x:c>
      <x:c r="T1339" t="str">
        <x:v>R4uW5y1mjJQ</x:v>
      </x:c>
      <x:c r="U1339" t="str"/>
      <x:c r="V1339" s="555" t="str"/>
      <x:c r="W1339" t="str"/>
    </x:row>
    <x:row r="1340">
      <x:c r="A1340" t="str">
        <x:v>ST-1364</x:v>
      </x:c>
      <x:c r="B1340" t="str">
        <x:v>Interview</x:v>
      </x:c>
      <x:c r="C1340" t="str">
        <x:v>Agent</x:v>
      </x:c>
      <x:c r="D1340" t="str">
        <x:v>AI for Good / Enterprise AI</x:v>
      </x:c>
      <x:c r="E1340" t="str">
        <x:v>AI consulting; enterprise transformation; governance; Eraneos; AI for Good</x:v>
      </x:c>
      <x:c r="F1340" t="str">
        <x:v>English</x:v>
      </x:c>
      <x:c r="G1340" t="str">
        <x:v>How AI Is Reshaping the Consulting Industry</x:v>
      </x:c>
      <x:c r="H1340" t="str">
        <x:v>Katharina Fulterer</x:v>
      </x:c>
      <x:c r="I1340" t="str">
        <x:v>AI for Good</x:v>
      </x:c>
      <x:c r="J1340" t="str">
        <x:v>Industry Interview</x:v>
      </x:c>
      <x:c r="K1340" s="148" t="n">
        <x:v>20</x:v>
      </x:c>
      <x:c r="L1340" t="str">
        <x:v>https://www.youtube.com/watch?v=a9vRN1eKQrQ</x:v>
      </x:c>
      <x:c r="M1340" t="str">
        <x:v>YouTube</x:v>
      </x:c>
      <x:c r="N1340" s="150" t="n">
        <x:v>0</x:v>
      </x:c>
      <x:c r="O1340" t="str">
        <x:v>A | Official / Original Creator / Organizer</x:v>
      </x:c>
      <x:c r="P1340" t="str">
        <x:v>Recommended</x:v>
      </x:c>
      <x:c r="Q1340" t="str">
        <x:v>Verified</x:v>
      </x:c>
      <x:c r="R1340" s="142" t="n">
        <x:v>46278</x:v>
      </x:c>
      <x:c r="S1340" t="str">
        <x:v>AI for Good interview on enterprise AI adoption, consulting workflows, and responsible deployment.</x:v>
      </x:c>
      <x:c r="T1340" t="str">
        <x:v>a9vRN1eKQrQ</x:v>
      </x:c>
      <x:c r="U1340" t="str"/>
      <x:c r="V1340" s="555" t="str"/>
      <x:c r="W1340" t="str"/>
    </x:row>
    <x:row r="1341">
      <x:c r="A1341" t="str">
        <x:v>ST-1365</x:v>
      </x:c>
      <x:c r="B1341" t="str">
        <x:v>Talk</x:v>
      </x:c>
      <x:c r="C1341" t="str">
        <x:v>World Model</x:v>
      </x:c>
      <x:c r="D1341" t="str">
        <x:v>World Models / Robot Action Models</x:v>
      </x:c>
      <x:c r="E1341" t="str">
        <x:v>GE-Act 2.0; action model; pretraining; scalable robot learning; robotics</x:v>
      </x:c>
      <x:c r="F1341" t="str">
        <x:v>Chinese</x:v>
      </x:c>
      <x:c r="G1341" t="str">
        <x:v>GE-Act 2.0: A Scalable World Action Model for Robot Learning</x:v>
      </x:c>
      <x:c r="H1341" t="str">
        <x:v>AgiBot Research Team</x:v>
      </x:c>
      <x:c r="I1341" t="str">
        <x:v>熊二等兵</x:v>
      </x:c>
      <x:c r="J1341" t="str">
        <x:v>Research Explainer</x:v>
      </x:c>
      <x:c r="K1341" s="148" t="n">
        <x:v>25</x:v>
      </x:c>
      <x:c r="L1341" t="str">
        <x:v>https://www.bilibili.com/video/BV1ztYq6sEKX</x:v>
      </x:c>
      <x:c r="M1341" t="str">
        <x:v>Bilibili</x:v>
      </x:c>
      <x:c r="N1341" s="150" t="n">
        <x:v>0</x:v>
      </x:c>
      <x:c r="O1341" t="str">
        <x:v>B | Community / Curated Mirror</x:v>
      </x:c>
      <x:c r="P1341" t="str">
        <x:v>Core</x:v>
      </x:c>
      <x:c r="Q1341" t="str">
        <x:v>Verified</x:v>
      </x:c>
      <x:c r="R1341" s="142" t="n">
        <x:v>46278</x:v>
      </x:c>
      <x:c r="S1341" t="str">
        <x:v>Chinese explainer of GE-Act 2.0 and scalable pretraining for world action models; references arXiv:2609.05588.</x:v>
      </x:c>
      <x:c r="T1341" t="str">
        <x:v>BV1ztYq6sEKX</x:v>
      </x:c>
      <x:c r="U1341" t="str"/>
      <x:c r="V1341" s="555" t="str"/>
      <x:c r="W1341" t="str"/>
    </x:row>
    <x:row r="1342">
      <x:c r="A1342" t="str">
        <x:v>ST-1366</x:v>
      </x:c>
      <x:c r="B1342" t="str">
        <x:v>Talk</x:v>
      </x:c>
      <x:c r="C1342" t="str">
        <x:v>World Model</x:v>
      </x:c>
      <x:c r="D1342" t="str">
        <x:v>World Models / Generative Simulation</x:v>
      </x:c>
      <x:c r="E1342" t="str">
        <x:v>programmable world model; open world; controllable generation; simulation</x:v>
      </x:c>
      <x:c r="F1342" t="str">
        <x:v>Chinese</x:v>
      </x:c>
      <x:c r="G1342" t="str">
        <x:v>A Programmable World Model for Customizable Open Worlds</x:v>
      </x:c>
      <x:c r="H1342" t="str">
        <x:v>熊二等兵</x:v>
      </x:c>
      <x:c r="I1342" t="str">
        <x:v>熊二等兵</x:v>
      </x:c>
      <x:c r="J1342" t="str">
        <x:v>Research Explainer</x:v>
      </x:c>
      <x:c r="K1342" s="148" t="n">
        <x:v>12</x:v>
      </x:c>
      <x:c r="L1342" t="str">
        <x:v>https://www.bilibili.com/video/BV1PoYq6vEx7</x:v>
      </x:c>
      <x:c r="M1342" t="str">
        <x:v>Bilibili</x:v>
      </x:c>
      <x:c r="N1342" s="150" t="n">
        <x:v>0</x:v>
      </x:c>
      <x:c r="O1342" t="str">
        <x:v>B | Community / Curated Mirror</x:v>
      </x:c>
      <x:c r="P1342" t="str">
        <x:v>Recommended</x:v>
      </x:c>
      <x:c r="Q1342" t="str">
        <x:v>Verified</x:v>
      </x:c>
      <x:c r="R1342" s="142" t="n">
        <x:v>46278</x:v>
      </x:c>
      <x:c r="S1342" t="str">
        <x:v>Chinese overview of a programmable generative world model that supports customizable rules and open-world interaction.</x:v>
      </x:c>
      <x:c r="T1342" t="str">
        <x:v>BV1PoYq6vEx7</x:v>
      </x:c>
      <x:c r="U1342" t="str"/>
      <x:c r="V1342" s="555" t="str"/>
      <x:c r="W1342" t="str"/>
    </x:row>
    <x:row r="1343">
      <x:c r="A1343" t="str">
        <x:v>ST-1367</x:v>
      </x:c>
      <x:c r="B1343" t="str">
        <x:v>Talk</x:v>
      </x:c>
      <x:c r="C1343" t="str">
        <x:v>Agent</x:v>
      </x:c>
      <x:c r="D1343" t="str">
        <x:v>AI Agents / World Models</x:v>
      </x:c>
      <x:c r="E1343" t="str">
        <x:v>automatic research agents; world models; scaling; autonomous research</x:v>
      </x:c>
      <x:c r="F1343" t="str">
        <x:v>Chinese</x:v>
      </x:c>
      <x:c r="G1343" t="str">
        <x:v>Scaling Automatic Research Agents via World Models</x:v>
      </x:c>
      <x:c r="H1343" t="str">
        <x:v>熊二等兵</x:v>
      </x:c>
      <x:c r="I1343" t="str">
        <x:v>熊二等兵</x:v>
      </x:c>
      <x:c r="J1343" t="str">
        <x:v>Paper Explainer</x:v>
      </x:c>
      <x:c r="K1343" s="148" t="n">
        <x:v>10</x:v>
      </x:c>
      <x:c r="L1343" t="str">
        <x:v>https://www.bilibili.com/video/BV1Z9YB6xE5g</x:v>
      </x:c>
      <x:c r="M1343" t="str">
        <x:v>Bilibili</x:v>
      </x:c>
      <x:c r="N1343" s="150" t="n">
        <x:v>0</x:v>
      </x:c>
      <x:c r="O1343" t="str">
        <x:v>B | Community / Curated Mirror</x:v>
      </x:c>
      <x:c r="P1343" t="str">
        <x:v>Recommended</x:v>
      </x:c>
      <x:c r="Q1343" t="str">
        <x:v>Verified</x:v>
      </x:c>
      <x:c r="R1343" s="142" t="n">
        <x:v>46278</x:v>
      </x:c>
      <x:c r="S1343" t="str">
        <x:v>Chinese paper explainer on scaling automatic research agents with learned world-model structure.</x:v>
      </x:c>
      <x:c r="T1343" t="str">
        <x:v>BV1Z9YB6xE5g</x:v>
      </x:c>
      <x:c r="U1343" t="str"/>
      <x:c r="V1343" s="555" t="str"/>
      <x:c r="W1343" t="str"/>
    </x:row>
    <x:row r="1344">
      <x:c r="A1344" t="str">
        <x:v>ST-1368</x:v>
      </x:c>
      <x:c r="B1344" t="str">
        <x:v>Talk</x:v>
      </x:c>
      <x:c r="C1344" t="str">
        <x:v>World Model</x:v>
      </x:c>
      <x:c r="D1344" t="str">
        <x:v>World Models / Robot Manipulation</x:v>
      </x:c>
      <x:c r="E1344" t="str">
        <x:v>FLIP; generative planning; manipulation world model; flow; ICLR 2025</x:v>
      </x:c>
      <x:c r="F1344" t="str">
        <x:v>Chinese</x:v>
      </x:c>
      <x:c r="G1344" t="str">
        <x:v>FLIP: Flow-Centric Generative Planning as a General Robot-Manipulation World Model</x:v>
      </x:c>
      <x:c r="H1344" t="str">
        <x:v>白拾的物理AI组会</x:v>
      </x:c>
      <x:c r="I1344" t="str">
        <x:v>白拾的物理AI组会</x:v>
      </x:c>
      <x:c r="J1344" t="str">
        <x:v>Paper Explainer</x:v>
      </x:c>
      <x:c r="K1344" s="148" t="n">
        <x:v>14</x:v>
      </x:c>
      <x:c r="L1344" t="str">
        <x:v>https://www.bilibili.com/video/BV1eUYa6vE5B</x:v>
      </x:c>
      <x:c r="M1344" t="str">
        <x:v>Bilibili</x:v>
      </x:c>
      <x:c r="N1344" s="150" t="n">
        <x:v>0</x:v>
      </x:c>
      <x:c r="O1344" t="str">
        <x:v>B | Community / Curated Mirror</x:v>
      </x:c>
      <x:c r="P1344" t="str">
        <x:v>Core</x:v>
      </x:c>
      <x:c r="Q1344" t="str">
        <x:v>Verified</x:v>
      </x:c>
      <x:c r="R1344" s="142" t="n">
        <x:v>46278</x:v>
      </x:c>
      <x:c r="S1344" t="str">
        <x:v>Chinese explainer of FLIP, a flow-centric generative planning approach for robot manipulation.</x:v>
      </x:c>
      <x:c r="T1344" t="str">
        <x:v>BV1eUYa6vE5B</x:v>
      </x:c>
      <x:c r="U1344" t="str"/>
      <x:c r="V1344" s="555" t="str"/>
      <x:c r="W1344" t="str"/>
    </x:row>
    <x:row r="1345">
      <x:c r="A1345" t="str">
        <x:v>ST-1369</x:v>
      </x:c>
      <x:c r="B1345" t="str">
        <x:v>Course</x:v>
      </x:c>
      <x:c r="C1345" t="str">
        <x:v>World Model</x:v>
      </x:c>
      <x:c r="D1345" t="str">
        <x:v>World Models / Reinforcement Learning</x:v>
      </x:c>
      <x:c r="E1345" t="str">
        <x:v>Dreamer; imagination learning; reinforcement learning; future prediction</x:v>
      </x:c>
      <x:c r="F1345" t="str">
        <x:v>Chinese</x:v>
      </x:c>
      <x:c r="G1345" t="str">
        <x:v>Dreamer: Learning by Imagining the Future</x:v>
      </x:c>
      <x:c r="H1345" t="str">
        <x:v>京口先生</x:v>
      </x:c>
      <x:c r="I1345" t="str">
        <x:v>京口先生</x:v>
      </x:c>
      <x:c r="J1345" t="str">
        <x:v>Paper Tutorial</x:v>
      </x:c>
      <x:c r="K1345" s="148" t="n">
        <x:v>5</x:v>
      </x:c>
      <x:c r="L1345" t="str">
        <x:v>https://www.bilibili.com/video/BV1HzYV6fEAh</x:v>
      </x:c>
      <x:c r="M1345" t="str">
        <x:v>Bilibili</x:v>
      </x:c>
      <x:c r="N1345" s="150" t="n">
        <x:v>0</x:v>
      </x:c>
      <x:c r="O1345" t="str">
        <x:v>B | Community / Curated Mirror</x:v>
      </x:c>
      <x:c r="P1345" t="str">
        <x:v>Recommended</x:v>
      </x:c>
      <x:c r="Q1345" t="str">
        <x:v>Verified</x:v>
      </x:c>
      <x:c r="R1345" s="142" t="n">
        <x:v>46278</x:v>
      </x:c>
      <x:c r="S1345" t="str">
        <x:v>Chinese tutorial on Dreamer-style imagination-based reinforcement learning and latent world models.</x:v>
      </x:c>
      <x:c r="T1345" t="str">
        <x:v>BV1HzYV6fEAh</x:v>
      </x:c>
      <x:c r="U1345" t="str"/>
      <x:c r="V1345" s="555" t="str"/>
      <x:c r="W1345" t="str"/>
    </x:row>
    <x:row r="1346">
      <x:c r="A1346" t="str">
        <x:v>ST-1370</x:v>
      </x:c>
      <x:c r="B1346" t="str">
        <x:v>Course</x:v>
      </x:c>
      <x:c r="C1346" t="str">
        <x:v>Robotics</x:v>
      </x:c>
      <x:c r="D1346" t="str">
        <x:v>Robotics / Simulation</x:v>
      </x:c>
      <x:c r="E1346" t="str">
        <x:v>RoboCasa365; simulation; benchmark; general-purpose robots; ICLR 2026</x:v>
      </x:c>
      <x:c r="F1346" t="str">
        <x:v>Chinese</x:v>
      </x:c>
      <x:c r="G1346" t="str">
        <x:v>RoboCasa365: Large-Scale Simulation Training and Benchmarking for General Robots</x:v>
      </x:c>
      <x:c r="H1346" t="str">
        <x:v>白拾的物理AI组会</x:v>
      </x:c>
      <x:c r="I1346" t="str">
        <x:v>白拾的物理AI组会</x:v>
      </x:c>
      <x:c r="J1346" t="str">
        <x:v>Paper Explainer</x:v>
      </x:c>
      <x:c r="K1346" s="148" t="n">
        <x:v>15</x:v>
      </x:c>
      <x:c r="L1346" t="str">
        <x:v>https://www.bilibili.com/video/BV1ArYi6oENm</x:v>
      </x:c>
      <x:c r="M1346" t="str">
        <x:v>Bilibili</x:v>
      </x:c>
      <x:c r="N1346" s="150" t="n">
        <x:v>0</x:v>
      </x:c>
      <x:c r="O1346" t="str">
        <x:v>B | Community / Curated Mirror</x:v>
      </x:c>
      <x:c r="P1346" t="str">
        <x:v>Core</x:v>
      </x:c>
      <x:c r="Q1346" t="str">
        <x:v>Verified</x:v>
      </x:c>
      <x:c r="R1346" s="142" t="n">
        <x:v>46278</x:v>
      </x:c>
      <x:c r="S1346" t="str">
        <x:v>Chinese explainer of RoboCasa365 and its large-scale simulation benchmark for general-purpose robot learning.</x:v>
      </x:c>
      <x:c r="T1346" t="str">
        <x:v>BV1ArYi6oENm</x:v>
      </x:c>
      <x:c r="U1346" t="str"/>
      <x:c r="V1346" s="555" t="str"/>
      <x:c r="W1346" t="str"/>
    </x:row>
    <x:row r="1347">
      <x:c r="A1347" t="str">
        <x:v>ST-1371</x:v>
      </x:c>
      <x:c r="B1347" t="str">
        <x:v>Talk</x:v>
      </x:c>
      <x:c r="C1347" t="str">
        <x:v>Robotics</x:v>
      </x:c>
      <x:c r="D1347" t="str">
        <x:v>Robotics / Humanoid Motion</x:v>
      </x:c>
      <x:c r="E1347" t="str">
        <x:v>humanoid robots; diffusion model; whole-body motion; Berkeley; Stanford</x:v>
      </x:c>
      <x:c r="F1347" t="str">
        <x:v>Chinese</x:v>
      </x:c>
      <x:c r="G1347" t="str">
        <x:v>Diffusion Models Teach Humanoid Robots Whole-Body Motion</x:v>
      </x:c>
      <x:c r="H1347" t="str">
        <x:v>深蓝学院</x:v>
      </x:c>
      <x:c r="I1347" t="str">
        <x:v>深蓝学院</x:v>
      </x:c>
      <x:c r="J1347" t="str">
        <x:v>Research Explainer</x:v>
      </x:c>
      <x:c r="K1347" s="148" t="n">
        <x:v>16</x:v>
      </x:c>
      <x:c r="L1347" t="str">
        <x:v>https://www.bilibili.com/video/BV1PpYD6KERh</x:v>
      </x:c>
      <x:c r="M1347" t="str">
        <x:v>Bilibili</x:v>
      </x:c>
      <x:c r="N1347" s="150" t="n">
        <x:v>0</x:v>
      </x:c>
      <x:c r="O1347" t="str">
        <x:v>B | Community / Curated Mirror</x:v>
      </x:c>
      <x:c r="P1347" t="str">
        <x:v>Recommended</x:v>
      </x:c>
      <x:c r="Q1347" t="str">
        <x:v>Verified</x:v>
      </x:c>
      <x:c r="R1347" s="142" t="n">
        <x:v>46278</x:v>
      </x:c>
      <x:c r="S1347" t="str">
        <x:v>Chinese research explainer on diffusion-based whole-body motion learning for humanoid robots.</x:v>
      </x:c>
      <x:c r="T1347" t="str">
        <x:v>BV1PpYD6KERh</x:v>
      </x:c>
      <x:c r="U1347" t="str"/>
      <x:c r="V1347" s="555" t="str"/>
      <x:c r="W1347" t="str"/>
    </x:row>
    <x:row r="1348">
      <x:c r="A1348" t="str">
        <x:v>ST-1372</x:v>
      </x:c>
      <x:c r="B1348" t="str">
        <x:v>Talk</x:v>
      </x:c>
      <x:c r="C1348" t="str">
        <x:v>Robotics</x:v>
      </x:c>
      <x:c r="D1348" t="str">
        <x:v>Robotics / Contact-Rich Manipulation</x:v>
      </x:c>
      <x:c r="E1348" t="str">
        <x:v>Privileged Action; curriculum learning; contact-rich manipulation; CoRL 2025</x:v>
      </x:c>
      <x:c r="F1348" t="str">
        <x:v>Chinese</x:v>
      </x:c>
      <x:c r="G1348" t="str">
        <x:v>Privileged Action: Curriculum Learning for Long-Horizon Contact-Rich Manipulation</x:v>
      </x:c>
      <x:c r="H1348" t="str">
        <x:v>白拾的物理AI组会</x:v>
      </x:c>
      <x:c r="I1348" t="str">
        <x:v>白拾的物理AI组会</x:v>
      </x:c>
      <x:c r="J1348" t="str">
        <x:v>Paper Explainer</x:v>
      </x:c>
      <x:c r="K1348" s="148" t="n">
        <x:v>14</x:v>
      </x:c>
      <x:c r="L1348" t="str">
        <x:v>https://www.bilibili.com/video/BV11tYe6oEBH</x:v>
      </x:c>
      <x:c r="M1348" t="str">
        <x:v>Bilibili</x:v>
      </x:c>
      <x:c r="N1348" s="150" t="n">
        <x:v>0</x:v>
      </x:c>
      <x:c r="O1348" t="str">
        <x:v>B | Community / Curated Mirror</x:v>
      </x:c>
      <x:c r="P1348" t="str">
        <x:v>Recommended</x:v>
      </x:c>
      <x:c r="Q1348" t="str">
        <x:v>Verified</x:v>
      </x:c>
      <x:c r="R1348" s="142" t="n">
        <x:v>46278</x:v>
      </x:c>
      <x:c r="S1348" t="str">
        <x:v>Chinese explainer of privileged-action training and curriculum learning for long-horizon manipulation.</x:v>
      </x:c>
      <x:c r="T1348" t="str">
        <x:v>BV11tYe6oEBH</x:v>
      </x:c>
      <x:c r="U1348" t="str"/>
      <x:c r="V1348" s="555" t="str"/>
      <x:c r="W1348" t="str"/>
    </x:row>
    <x:row r="1349">
      <x:c r="A1349" t="str">
        <x:v>ST-1373</x:v>
      </x:c>
      <x:c r="B1349" t="str">
        <x:v>Talk</x:v>
      </x:c>
      <x:c r="C1349" t="str">
        <x:v>Robotics</x:v>
      </x:c>
      <x:c r="D1349" t="str">
        <x:v>Robotics / Sim-to-Real</x:v>
      </x:c>
      <x:c r="E1349" t="str">
        <x:v>X-Sim; real-sim-real; human video; robot manipulation; CoRL 2025</x:v>
      </x:c>
      <x:c r="F1349" t="str">
        <x:v>Chinese</x:v>
      </x:c>
      <x:c r="G1349" t="str">
        <x:v>X-Sim: Learning Robot Manipulation from Human Videos with a Real–Sim–Real Loop</x:v>
      </x:c>
      <x:c r="H1349" t="str">
        <x:v>白拾的物理AI组会</x:v>
      </x:c>
      <x:c r="I1349" t="str">
        <x:v>白拾的物理AI组会</x:v>
      </x:c>
      <x:c r="J1349" t="str">
        <x:v>Paper Explainer</x:v>
      </x:c>
      <x:c r="K1349" s="148" t="n">
        <x:v>15</x:v>
      </x:c>
      <x:c r="L1349" t="str">
        <x:v>https://www.bilibili.com/video/BV1iSYe6CEPr</x:v>
      </x:c>
      <x:c r="M1349" t="str">
        <x:v>Bilibili</x:v>
      </x:c>
      <x:c r="N1349" s="150" t="n">
        <x:v>0</x:v>
      </x:c>
      <x:c r="O1349" t="str">
        <x:v>B | Community / Curated Mirror</x:v>
      </x:c>
      <x:c r="P1349" t="str">
        <x:v>Core</x:v>
      </x:c>
      <x:c r="Q1349" t="str">
        <x:v>Verified</x:v>
      </x:c>
      <x:c r="R1349" s="142" t="n">
        <x:v>46278</x:v>
      </x:c>
      <x:c r="S1349" t="str">
        <x:v>Chinese explainer of an X-Sim real–simulation–real loop for learning manipulation from human videos.</x:v>
      </x:c>
      <x:c r="T1349" t="str">
        <x:v>BV1iSYe6CEPr</x:v>
      </x:c>
      <x:c r="U1349" t="str"/>
      <x:c r="V1349" s="555" t="str"/>
      <x:c r="W1349" t="str"/>
    </x:row>
    <x:row r="1350">
      <x:c r="A1350" t="str">
        <x:v>ST-1374</x:v>
      </x:c>
      <x:c r="B1350" t="str">
        <x:v>Talk</x:v>
      </x:c>
      <x:c r="C1350" t="str">
        <x:v>Robotics</x:v>
      </x:c>
      <x:c r="D1350" t="str">
        <x:v>Robotics / Humanoid Control</x:v>
      </x:c>
      <x:c r="E1350" t="str">
        <x:v>ASAP; sim-to-real; humanoid; whole-body skills; RSS 2025</x:v>
      </x:c>
      <x:c r="F1350" t="str">
        <x:v>Chinese</x:v>
      </x:c>
      <x:c r="G1350" t="str">
        <x:v>ASAP: Aligning Simulation and Reality for Agile Humanoid Skills</x:v>
      </x:c>
      <x:c r="H1350" t="str">
        <x:v>白拾的物理AI组会</x:v>
      </x:c>
      <x:c r="I1350" t="str">
        <x:v>白拾的物理AI组会</x:v>
      </x:c>
      <x:c r="J1350" t="str">
        <x:v>Paper Explainer</x:v>
      </x:c>
      <x:c r="K1350" s="148" t="n">
        <x:v>15</x:v>
      </x:c>
      <x:c r="L1350" t="str">
        <x:v>https://www.bilibili.com/video/BV1rHYv6DEGp</x:v>
      </x:c>
      <x:c r="M1350" t="str">
        <x:v>Bilibili</x:v>
      </x:c>
      <x:c r="N1350" s="150" t="n">
        <x:v>0</x:v>
      </x:c>
      <x:c r="O1350" t="str">
        <x:v>B | Community / Curated Mirror</x:v>
      </x:c>
      <x:c r="P1350" t="str">
        <x:v>Core</x:v>
      </x:c>
      <x:c r="Q1350" t="str">
        <x:v>Verified</x:v>
      </x:c>
      <x:c r="R1350" s="142" t="n">
        <x:v>46278</x:v>
      </x:c>
      <x:c r="S1350" t="str">
        <x:v>Chinese explainer of ASAP for aligning simulation and real-world physics in agile humanoid control.</x:v>
      </x:c>
      <x:c r="T1350" t="str">
        <x:v>BV1rHYv6DEGp</x:v>
      </x:c>
      <x:c r="U1350" t="str"/>
      <x:c r="V1350" s="555" t="str"/>
      <x:c r="W1350" t="str"/>
    </x:row>
    <x:row r="1351">
      <x:c r="A1351" t="str">
        <x:v>ST-1375</x:v>
      </x:c>
      <x:c r="B1351" t="str">
        <x:v>Talk</x:v>
      </x:c>
      <x:c r="C1351" t="str">
        <x:v>Agent</x:v>
      </x:c>
      <x:c r="D1351" t="str">
        <x:v>AI Agents / Retrieval</x:v>
      </x:c>
      <x:c r="E1351" t="str">
        <x:v>REGENT; retrieval augmentation; context learning; generalist agents; ICLR 2025</x:v>
      </x:c>
      <x:c r="F1351" t="str">
        <x:v>Chinese</x:v>
      </x:c>
      <x:c r="G1351" t="str">
        <x:v>REGENT: Retrieval-Augmented Generalist Agents without Fine-Tuning</x:v>
      </x:c>
      <x:c r="H1351" t="str">
        <x:v>白拾的物理AI组会</x:v>
      </x:c>
      <x:c r="I1351" t="str">
        <x:v>白拾的物理AI组会</x:v>
      </x:c>
      <x:c r="J1351" t="str">
        <x:v>Paper Explainer</x:v>
      </x:c>
      <x:c r="K1351" s="148" t="n">
        <x:v>14</x:v>
      </x:c>
      <x:c r="L1351" t="str">
        <x:v>https://www.bilibili.com/video/BV1y3Yv6tEZy</x:v>
      </x:c>
      <x:c r="M1351" t="str">
        <x:v>Bilibili</x:v>
      </x:c>
      <x:c r="N1351" s="150" t="n">
        <x:v>0</x:v>
      </x:c>
      <x:c r="O1351" t="str">
        <x:v>B | Community / Curated Mirror</x:v>
      </x:c>
      <x:c r="P1351" t="str">
        <x:v>Core</x:v>
      </x:c>
      <x:c r="Q1351" t="str">
        <x:v>Verified</x:v>
      </x:c>
      <x:c r="R1351" s="142" t="n">
        <x:v>46278</x:v>
      </x:c>
      <x:c r="S1351" t="str">
        <x:v>Chinese explainer of retrieval-augmented generalist agents that adapt in context without fine-tuning.</x:v>
      </x:c>
      <x:c r="T1351" t="str">
        <x:v>BV1y3Yv6tEZy</x:v>
      </x:c>
      <x:c r="U1351" t="str"/>
      <x:c r="V1351" s="555" t="str"/>
      <x:c r="W1351" t="str"/>
    </x:row>
    <x:row r="1352">
      <x:c r="A1352" t="str">
        <x:v>ST-1376</x:v>
      </x:c>
      <x:c r="B1352" t="str">
        <x:v>Talk</x:v>
      </x:c>
      <x:c r="C1352" t="str">
        <x:v>Robotics</x:v>
      </x:c>
      <x:c r="D1352" t="str">
        <x:v>Robotics / Vision-Language-Action</x:v>
      </x:c>
      <x:c r="E1352" t="str">
        <x:v>MotoVLA; action-free data; robot manipulation; CoRL 2025; VLA</x:v>
      </x:c>
      <x:c r="F1352" t="str">
        <x:v>Chinese</x:v>
      </x:c>
      <x:c r="G1352" t="str">
        <x:v>MotoVLA: General Robot Manipulation without Action-Labeled Data</x:v>
      </x:c>
      <x:c r="H1352" t="str">
        <x:v>白拾的物理AI组会</x:v>
      </x:c>
      <x:c r="I1352" t="str">
        <x:v>白拾的物理AI组会</x:v>
      </x:c>
      <x:c r="J1352" t="str">
        <x:v>Paper Explainer</x:v>
      </x:c>
      <x:c r="K1352" s="148" t="n">
        <x:v>15</x:v>
      </x:c>
      <x:c r="L1352" t="str">
        <x:v>https://www.bilibili.com/video/BV15qYv66EFQ</x:v>
      </x:c>
      <x:c r="M1352" t="str">
        <x:v>Bilibili</x:v>
      </x:c>
      <x:c r="N1352" s="150" t="n">
        <x:v>0</x:v>
      </x:c>
      <x:c r="O1352" t="str">
        <x:v>B | Community / Curated Mirror</x:v>
      </x:c>
      <x:c r="P1352" t="str">
        <x:v>Core</x:v>
      </x:c>
      <x:c r="Q1352" t="str">
        <x:v>Verified</x:v>
      </x:c>
      <x:c r="R1352" s="142" t="n">
        <x:v>46278</x:v>
      </x:c>
      <x:c r="S1352" t="str">
        <x:v>Chinese explainer of MotoVLA and learning general robot manipulation without action labels.</x:v>
      </x:c>
      <x:c r="T1352" t="str">
        <x:v>BV15qYv66EFQ</x:v>
      </x:c>
      <x:c r="U1352" t="str"/>
      <x:c r="V1352" s="555" t="str"/>
      <x:c r="W1352" t="str"/>
    </x:row>
    <x:row r="1353" ht="66" hidden="0" customHeight="1">
      <x:c r="A1353" s="143" t="str">
        <x:v>ST-1377</x:v>
      </x:c>
      <x:c r="B1353" s="143" t="str">
        <x:v>Interview</x:v>
      </x:c>
      <x:c r="C1353" s="143" t="str">
        <x:v>Agent</x:v>
      </x:c>
      <x:c r="D1353" s="143" t="str">
        <x:v>AI Agents / Safety</x:v>
      </x:c>
      <x:c r="E1353" s="143" t="str">
        <x:v>Agent; Safety</x:v>
      </x:c>
      <x:c r="F1353" s="143" t="str">
        <x:v>English</x:v>
      </x:c>
      <x:c r="G1353" s="143" t="str">
        <x:v>Engineering safer AI to mitigate global risks | Yoshua Bengio</x:v>
      </x:c>
      <x:c r="H1353" s="143" t="str">
        <x:v>Yoshua Bengio; Beatrice Nolan</x:v>
      </x:c>
      <x:c r="I1353" s="143" t="str">
        <x:v>AI for Good</x:v>
      </x:c>
      <x:c r="J1353" s="143" t="str">
        <x:v>Research Interview</x:v>
      </x:c>
      <x:c r="K1353" s="556" t="n">
        <x:v>23</x:v>
      </x:c>
      <x:c r="L1353" s="143" t="str">
        <x:v>https://www.youtube.com/watch?v=WZNHg9mpfco</x:v>
      </x:c>
      <x:c r="M1353" s="143" t="str">
        <x:v>YouTube</x:v>
      </x:c>
      <x:c r="N1353" s="557" t="n">
        <x:v>764</x:v>
      </x:c>
      <x:c r="O1353" s="143" t="str">
        <x:v>A | Official / Original Creator / Organizer</x:v>
      </x:c>
      <x:c r="P1353" s="143" t="str">
        <x:v>Core</x:v>
      </x:c>
      <x:c r="Q1353" s="143" t="str">
        <x:v>Verified</x:v>
      </x:c>
      <x:c r="R1353" s="558" t="n">
        <x:v>46291</x:v>
      </x:c>
      <x:c r="S1353" s="143" t="str">
        <x:v>Organizer-published conversation on technical and societal safeguards for advanced AI. Recorded at the AI for Good Global Summit 2026; the date is the video upload date. Public watch-page metadata checked; playback and subtitles were not tested.</x:v>
      </x:c>
      <x:c r="T1353" s="143" t="str">
        <x:v>WZNHg9mpfco</x:v>
      </x:c>
      <x:c r="U1353" s="143" t="str"/>
      <x:c r="V1353" s="559" t="str"/>
      <x:c r="W1353" s="143" t="str"/>
    </x:row>
    <x:row r="1354" ht="52.79999923706055" hidden="0" customHeight="1">
      <x:c r="A1354" s="143" t="str">
        <x:v>ST-1378</x:v>
      </x:c>
      <x:c r="B1354" s="143" t="str">
        <x:v>Interview</x:v>
      </x:c>
      <x:c r="C1354" s="143" t="str">
        <x:v>Agent</x:v>
      </x:c>
      <x:c r="D1354" s="143" t="str">
        <x:v>AI Agents / Scientific Discovery</x:v>
      </x:c>
      <x:c r="E1354" s="143" t="str">
        <x:v>Agent; Scientific Discovery</x:v>
      </x:c>
      <x:c r="F1354" s="143" t="str">
        <x:v>English</x:v>
      </x:c>
      <x:c r="G1354" s="143" t="str">
        <x:v>Google's AI Scientist Started as an Attempt to Automate Kaggle — John Platt, Google Fellow</x:v>
      </x:c>
      <x:c r="H1354" s="143" t="str">
        <x:v>John Platt</x:v>
      </x:c>
      <x:c r="I1354" s="143" t="str">
        <x:v>Latent Space</x:v>
      </x:c>
      <x:c r="J1354" s="143" t="str">
        <x:v>Research Interview</x:v>
      </x:c>
      <x:c r="K1354" s="556" t="n">
        <x:v>121</x:v>
      </x:c>
      <x:c r="L1354" s="143" t="str">
        <x:v>https://www.youtube.com/watch?v=2xBSGluFkG0</x:v>
      </x:c>
      <x:c r="M1354" s="143" t="str">
        <x:v>YouTube</x:v>
      </x:c>
      <x:c r="N1354" s="557" t="n">
        <x:v>6100</x:v>
      </x:c>
      <x:c r="O1354" s="143" t="str">
        <x:v>A | Official / Original Creator / Organizer</x:v>
      </x:c>
      <x:c r="P1354" s="143" t="str">
        <x:v>Core</x:v>
      </x:c>
      <x:c r="Q1354" s="143" t="str">
        <x:v>Verified</x:v>
      </x:c>
      <x:c r="R1354" s="558" t="n">
        <x:v>46291</x:v>
      </x:c>
      <x:c r="S1354" s="143" t="str">
        <x:v>Long-form conversation on empirical research agents, tree search, experimental scoring and reward hacking. Public watch-page metadata checked; playback and subtitles were not tested.</x:v>
      </x:c>
      <x:c r="T1354" s="143" t="str">
        <x:v>2xBSGluFkG0</x:v>
      </x:c>
      <x:c r="U1354" s="143" t="str"/>
      <x:c r="V1354" s="559" t="str"/>
      <x:c r="W1354" s="143" t="str"/>
    </x:row>
    <x:row r="1355" ht="66" hidden="0" customHeight="1">
      <x:c r="A1355" s="143" t="str">
        <x:v>ST-1379</x:v>
      </x:c>
      <x:c r="B1355" s="143" t="str">
        <x:v>Interview</x:v>
      </x:c>
      <x:c r="C1355" s="143" t="str">
        <x:v>World Model</x:v>
      </x:c>
      <x:c r="D1355" s="143" t="str">
        <x:v>World Models / Physical AI</x:v>
      </x:c>
      <x:c r="E1355" s="143" t="str">
        <x:v>World Model; Physical AI</x:v>
      </x:c>
      <x:c r="F1355" s="143" t="str">
        <x:v>English</x:v>
      </x:c>
      <x:c r="G1355" s="143" t="str">
        <x:v>How Physical AI Learns Across Language, Video and Action — Ming-Yu Liu</x:v>
      </x:c>
      <x:c r="H1355" s="143" t="str">
        <x:v>Ming-Yu Liu</x:v>
      </x:c>
      <x:c r="I1355" s="143" t="str">
        <x:v>Machine Learning Street Talk</x:v>
      </x:c>
      <x:c r="J1355" s="143" t="str">
        <x:v>Research Interview</x:v>
      </x:c>
      <x:c r="K1355" s="556" t="n">
        <x:v>26</x:v>
      </x:c>
      <x:c r="L1355" s="143" t="str">
        <x:v>https://www.youtube.com/watch?v=L6tLBApQN-g</x:v>
      </x:c>
      <x:c r="M1355" s="143" t="str">
        <x:v>YouTube</x:v>
      </x:c>
      <x:c r="N1355" s="557" t="n">
        <x:v>13181</x:v>
      </x:c>
      <x:c r="O1355" s="143" t="str">
        <x:v>A | Official / Original Creator / Organizer</x:v>
      </x:c>
      <x:c r="P1355" s="143" t="str">
        <x:v>Core</x:v>
      </x:c>
      <x:c r="Q1355" s="143" t="str">
        <x:v>Verified</x:v>
      </x:c>
      <x:c r="R1355" s="558" t="n">
        <x:v>46291</x:v>
      </x:c>
      <x:c r="S1355" s="143" t="str">
        <x:v>Discusses Cosmos 3, language/video/action learning and neural simulation for policy evaluation. The publisher discloses a paid partnership with NVIDIA. Public watch-page metadata checked; playback and subtitles were not tested.</x:v>
      </x:c>
      <x:c r="T1355" s="143" t="str">
        <x:v>L6tLBApQN-g</x:v>
      </x:c>
      <x:c r="U1355" s="143" t="str"/>
      <x:c r="V1355" s="559" t="str"/>
      <x:c r="W1355" s="143" t="str"/>
    </x:row>
    <x:row r="1356" ht="52.79999923706055" hidden="0" customHeight="1">
      <x:c r="A1356" s="143" t="str">
        <x:v>ST-1380</x:v>
      </x:c>
      <x:c r="B1356" s="143" t="str">
        <x:v>Interview</x:v>
      </x:c>
      <x:c r="C1356" s="143" t="str">
        <x:v>Agent</x:v>
      </x:c>
      <x:c r="D1356" s="143" t="str">
        <x:v>AI Agents / Harness Optimization</x:v>
      </x:c>
      <x:c r="E1356" s="143" t="str">
        <x:v>Agent; Harness Optimization</x:v>
      </x:c>
      <x:c r="F1356" s="143" t="str">
        <x:v>English</x:v>
      </x:c>
      <x:c r="G1356" s="143" t="str">
        <x:v>Can Rewriting an AI Agent Bend the Intelligence Curve? - Zhengyao Jiang</x:v>
      </x:c>
      <x:c r="H1356" s="143" t="str">
        <x:v>Zhengyao Jiang</x:v>
      </x:c>
      <x:c r="I1356" s="143" t="str">
        <x:v>Machine Learning Street Talk</x:v>
      </x:c>
      <x:c r="J1356" s="143" t="str">
        <x:v>Research Interview</x:v>
      </x:c>
      <x:c r="K1356" s="556" t="n">
        <x:v>44</x:v>
      </x:c>
      <x:c r="L1356" s="143" t="str">
        <x:v>https://www.youtube.com/watch?v=yB6_iFGTq9k</x:v>
      </x:c>
      <x:c r="M1356" s="143" t="str">
        <x:v>YouTube</x:v>
      </x:c>
      <x:c r="N1356" s="557" t="n">
        <x:v>201</x:v>
      </x:c>
      <x:c r="O1356" s="143" t="str">
        <x:v>A | Official / Original Creator / Organizer</x:v>
      </x:c>
      <x:c r="P1356" s="143" t="str">
        <x:v>Core</x:v>
      </x:c>
      <x:c r="Q1356" s="143" t="str">
        <x:v>Verified</x:v>
      </x:c>
      <x:c r="R1356" s="558" t="n">
        <x:v>46291</x:v>
      </x:c>
      <x:c r="S1356" s="143" t="str">
        <x:v>Discussion of Weco and agents that rewrite their own harness, prompts and tools while keeping the base model fixed. Public watch-page metadata checked; playback and subtitles were not tested.</x:v>
      </x:c>
      <x:c r="T1356" s="143" t="str">
        <x:v>yB6_iFGTq9k</x:v>
      </x:c>
      <x:c r="U1356" s="143" t="str"/>
      <x:c r="V1356" s="559" t="str"/>
      <x:c r="W1356" s="143" t="str"/>
    </x:row>
    <x:row r="1357" ht="52.79999923706055" hidden="0" customHeight="1">
      <x:c r="A1357" s="143" t="str">
        <x:v>ST-1381</x:v>
      </x:c>
      <x:c r="B1357" s="143" t="str">
        <x:v>Talk</x:v>
      </x:c>
      <x:c r="C1357" s="143" t="str">
        <x:v>Robotics</x:v>
      </x:c>
      <x:c r="D1357" s="143" t="str">
        <x:v>Robotics / Physical AI</x:v>
      </x:c>
      <x:c r="E1357" s="143" t="str">
        <x:v>Robotics; Physical AI</x:v>
      </x:c>
      <x:c r="F1357" s="143" t="str">
        <x:v>English</x:v>
      </x:c>
      <x:c r="G1357" s="143" t="str">
        <x:v>So... What Exactly is Physical AI?</x:v>
      </x:c>
      <x:c r="H1357" s="143" t="str">
        <x:v>Daniela Rus; Russ Tedrake; John Leonard; Pras Velagapudi; Deepak Pathak</x:v>
      </x:c>
      <x:c r="I1357" s="143" t="str">
        <x:v>MIT CSAIL</x:v>
      </x:c>
      <x:c r="J1357" s="143" t="str">
        <x:v>Research Explainer</x:v>
      </x:c>
      <x:c r="K1357" s="556" t="n">
        <x:v>10</x:v>
      </x:c>
      <x:c r="L1357" s="143" t="str">
        <x:v>https://www.youtube.com/watch?v=L6bSqc5ccCw</x:v>
      </x:c>
      <x:c r="M1357" s="143" t="str">
        <x:v>YouTube</x:v>
      </x:c>
      <x:c r="N1357" s="557" t="n">
        <x:v>2939</x:v>
      </x:c>
      <x:c r="O1357" s="143" t="str">
        <x:v>A | Official / Original Creator / Organizer</x:v>
      </x:c>
      <x:c r="P1357" s="143" t="str">
        <x:v>Core</x:v>
      </x:c>
      <x:c r="Q1357" s="143" t="str">
        <x:v>Verified</x:v>
      </x:c>
      <x:c r="R1357" s="558" t="n">
        <x:v>46291</x:v>
      </x:c>
      <x:c r="S1357" s="143" t="str">
        <x:v>MIT CSAIL explainer featuring researchers and industry practitioners discussing physical AI. Public watch-page metadata checked; playback and subtitles were not tested.</x:v>
      </x:c>
      <x:c r="T1357" s="143" t="str">
        <x:v>L6bSqc5ccCw</x:v>
      </x:c>
      <x:c r="U1357" s="143" t="str"/>
      <x:c r="V1357" s="559" t="str"/>
      <x:c r="W1357" s="143" t="str"/>
    </x:row>
    <x:row r="1358" ht="66" hidden="0" customHeight="1">
      <x:c r="A1358" s="143" t="str">
        <x:v>ST-1382</x:v>
      </x:c>
      <x:c r="B1358" s="143" t="str">
        <x:v>Talk</x:v>
      </x:c>
      <x:c r="C1358" s="143" t="str">
        <x:v>Agent</x:v>
      </x:c>
      <x:c r="D1358" s="143" t="str">
        <x:v>AI Agents / Security and Interoperability</x:v>
      </x:c>
      <x:c r="E1358" s="143" t="str">
        <x:v>Agent; Security and Interoperability</x:v>
      </x:c>
      <x:c r="F1358" s="143" t="str">
        <x:v>English</x:v>
      </x:c>
      <x:c r="G1358" s="143" t="str">
        <x:v>Building trust in autonomous AI agents | Global leaders on security, identity and interoperability</x:v>
      </x:c>
      <x:c r="H1358" s="143" t="str">
        <x:v>Bilel Jamoussi; panelists from Smart Africa, Cloudflare, Microsoft, Meta and the UAE Government</x:v>
      </x:c>
      <x:c r="I1358" s="143" t="str">
        <x:v>AI for Good</x:v>
      </x:c>
      <x:c r="J1358" s="143" t="str">
        <x:v>Panel Discussion</x:v>
      </x:c>
      <x:c r="K1358" s="556" t="n">
        <x:v>26</x:v>
      </x:c>
      <x:c r="L1358" s="143" t="str">
        <x:v>https://www.youtube.com/watch?v=aUD_HMgsyTo</x:v>
      </x:c>
      <x:c r="M1358" s="143" t="str">
        <x:v>YouTube</x:v>
      </x:c>
      <x:c r="N1358" s="557" t="n">
        <x:v>1502</x:v>
      </x:c>
      <x:c r="O1358" s="143" t="str">
        <x:v>A | Official / Original Creator / Organizer</x:v>
      </x:c>
      <x:c r="P1358" s="143" t="str">
        <x:v>Recommended</x:v>
      </x:c>
      <x:c r="Q1358" s="143" t="str">
        <x:v>Verified</x:v>
      </x:c>
      <x:c r="R1358" s="558" t="n">
        <x:v>46291</x:v>
      </x:c>
      <x:c r="S1358" s="143" t="str">
        <x:v>Organizer-published panel on agent identity, authentication, cybersecurity and secure interoperability. Upload date is not the event date. Public watch-page metadata checked; playback and subtitles were not tested.</x:v>
      </x:c>
      <x:c r="T1358" s="143" t="str">
        <x:v>aUD_HMgsyTo</x:v>
      </x:c>
      <x:c r="U1358" s="143" t="str"/>
      <x:c r="V1358" s="559" t="str"/>
      <x:c r="W1358" s="143" t="str"/>
    </x:row>
    <x:row r="1359" ht="66" hidden="0" customHeight="1">
      <x:c r="A1359" s="143" t="str">
        <x:v>ST-1383</x:v>
      </x:c>
      <x:c r="B1359" s="143" t="str">
        <x:v>Talk</x:v>
      </x:c>
      <x:c r="C1359" s="143" t="str">
        <x:v>Robotics</x:v>
      </x:c>
      <x:c r="D1359" s="143" t="str">
        <x:v>Robotics / Autonomous Drones</x:v>
      </x:c>
      <x:c r="E1359" s="143" t="str">
        <x:v>Robotics; Autonomous Drones</x:v>
      </x:c>
      <x:c r="F1359" s="143" t="str">
        <x:v>English</x:v>
      </x:c>
      <x:c r="G1359" s="143" t="str">
        <x:v>AI flying cameras: Rethinking drones through creativity and human-centred design | Mengqiu (MQ) Wang</x:v>
      </x:c>
      <x:c r="H1359" s="143" t="str">
        <x:v>Mengqiu (MQ) Wang</x:v>
      </x:c>
      <x:c r="I1359" s="143" t="str">
        <x:v>AI for Good</x:v>
      </x:c>
      <x:c r="J1359" s="143" t="str">
        <x:v>Founder Talk</x:v>
      </x:c>
      <x:c r="K1359" s="556" t="n">
        <x:v>10</x:v>
      </x:c>
      <x:c r="L1359" s="143" t="str">
        <x:v>https://www.youtube.com/watch?v=n0KN9F9pT3Q</x:v>
      </x:c>
      <x:c r="M1359" s="143" t="str">
        <x:v>YouTube</x:v>
      </x:c>
      <x:c r="N1359" s="557" t="n">
        <x:v>135</x:v>
      </x:c>
      <x:c r="O1359" s="143" t="str">
        <x:v>A | Official / Original Creator / Organizer</x:v>
      </x:c>
      <x:c r="P1359" s="143" t="str">
        <x:v>Recommended</x:v>
      </x:c>
      <x:c r="Q1359" s="143" t="str">
        <x:v>Verified</x:v>
      </x:c>
      <x:c r="R1359" s="558" t="n">
        <x:v>46291</x:v>
      </x:c>
      <x:c r="S1359" s="143" t="str">
        <x:v>Zero Zero Robotics founder discusses AI flying cameras and human-centred drone design. Organizer upload of an AI for Good Global Summit session. Public watch-page metadata checked; playback and subtitles were not tested.</x:v>
      </x:c>
      <x:c r="T1359" s="143" t="str">
        <x:v>n0KN9F9pT3Q</x:v>
      </x:c>
      <x:c r="U1359" s="143" t="str"/>
      <x:c r="V1359" s="559" t="str"/>
      <x:c r="W1359" s="143" t="str"/>
    </x:row>
    <x:row r="1360" ht="52.79999923706055" hidden="0" customHeight="1">
      <x:c r="A1360" s="143" t="str">
        <x:v>ST-1384</x:v>
      </x:c>
      <x:c r="B1360" s="143" t="str">
        <x:v>Course</x:v>
      </x:c>
      <x:c r="C1360" s="143" t="str">
        <x:v>Agent</x:v>
      </x:c>
      <x:c r="D1360" s="143" t="str">
        <x:v>AI Agents / Fine-Tuning</x:v>
      </x:c>
      <x:c r="E1360" s="143" t="str">
        <x:v>Agent; Fine-Tuning</x:v>
      </x:c>
      <x:c r="F1360" s="143" t="str">
        <x:v>English</x:v>
      </x:c>
      <x:c r="G1360" s="143" t="str">
        <x:v>How to go from your agent's traces to a fine-tuned model in one workflow</x:v>
      </x:c>
      <x:c r="H1360" s="143" t="str">
        <x:v>LangChain team</x:v>
      </x:c>
      <x:c r="I1360" s="143" t="str">
        <x:v>LangChain</x:v>
      </x:c>
      <x:c r="J1360" s="143" t="str">
        <x:v>Technical Tutorial</x:v>
      </x:c>
      <x:c r="K1360" s="556" t="n">
        <x:v>9</x:v>
      </x:c>
      <x:c r="L1360" s="143" t="str">
        <x:v>https://www.youtube.com/watch?v=pb-AAvvQZ-U</x:v>
      </x:c>
      <x:c r="M1360" s="143" t="str">
        <x:v>YouTube</x:v>
      </x:c>
      <x:c r="N1360" s="557" t="n">
        <x:v>6611</x:v>
      </x:c>
      <x:c r="O1360" s="143" t="str">
        <x:v>A | Official / Original Creator / Organizer</x:v>
      </x:c>
      <x:c r="P1360" s="143" t="str">
        <x:v>Recommended</x:v>
      </x:c>
      <x:c r="Q1360" s="143" t="str">
        <x:v>Verified</x:v>
      </x:c>
      <x:c r="R1360" s="558" t="n">
        <x:v>46291</x:v>
      </x:c>
      <x:c r="S1360" s="143" t="str">
        <x:v>Hands-on workflow from agent traces to model fine-tuning using LangSmith and smithtune. Public watch-page metadata checked; playback and subtitles were not tested.</x:v>
      </x:c>
      <x:c r="T1360" s="143" t="str">
        <x:v>pb-AAvvQZ-U</x:v>
      </x:c>
      <x:c r="U1360" s="143" t="str"/>
      <x:c r="V1360" s="559" t="str"/>
      <x:c r="W1360" s="143" t="str"/>
    </x:row>
    <x:row r="1361" ht="52.79999923706055" hidden="0" customHeight="1">
      <x:c r="A1361" s="143" t="str">
        <x:v>ST-1385</x:v>
      </x:c>
      <x:c r="B1361" s="143" t="str">
        <x:v>Course</x:v>
      </x:c>
      <x:c r="C1361" s="143" t="str">
        <x:v>Agent</x:v>
      </x:c>
      <x:c r="D1361" s="143" t="str">
        <x:v>AI Agents / Scheduling</x:v>
      </x:c>
      <x:c r="E1361" s="143" t="str">
        <x:v>Agent; Scheduling</x:v>
      </x:c>
      <x:c r="F1361" s="143" t="str">
        <x:v>English</x:v>
      </x:c>
      <x:c r="G1361" s="143" t="str">
        <x:v>Schedules for Managed Deep Agents: Cron jobs, prompts, and Slack delivery</x:v>
      </x:c>
      <x:c r="H1361" s="143" t="str">
        <x:v>Nathan Drezner</x:v>
      </x:c>
      <x:c r="I1361" s="143" t="str">
        <x:v>LangChain</x:v>
      </x:c>
      <x:c r="J1361" s="143" t="str">
        <x:v>Technical Tutorial</x:v>
      </x:c>
      <x:c r="K1361" s="556" t="n">
        <x:v>3</x:v>
      </x:c>
      <x:c r="L1361" s="143" t="str">
        <x:v>https://www.youtube.com/watch?v=-mWWsvv19jE</x:v>
      </x:c>
      <x:c r="M1361" s="143" t="str">
        <x:v>YouTube</x:v>
      </x:c>
      <x:c r="N1361" s="557" t="n">
        <x:v>3592</x:v>
      </x:c>
      <x:c r="O1361" s="143" t="str">
        <x:v>A | Official / Original Creator / Organizer</x:v>
      </x:c>
      <x:c r="P1361" s="143" t="str">
        <x:v>Recommended</x:v>
      </x:c>
      <x:c r="Q1361" s="143" t="str">
        <x:v>Verified</x:v>
      </x:c>
      <x:c r="R1361" s="558" t="n">
        <x:v>46291</x:v>
      </x:c>
      <x:c r="S1361" s="143" t="str">
        <x:v>Configure recurring tasks, prompts and Slack delivery for Managed Deep Agents. Public watch-page metadata checked; playback and subtitles were not tested.</x:v>
      </x:c>
      <x:c r="T1361" s="143" t="str">
        <x:v>-mWWsvv19jE</x:v>
      </x:c>
      <x:c r="U1361" s="143" t="str"/>
      <x:c r="V1361" s="559" t="str"/>
      <x:c r="W1361" s="143" t="str"/>
    </x:row>
    <x:row r="1362" ht="52.79999923706055" hidden="0" customHeight="1">
      <x:c r="A1362" s="143" t="str">
        <x:v>ST-1386</x:v>
      </x:c>
      <x:c r="B1362" s="143" t="str">
        <x:v>Interview</x:v>
      </x:c>
      <x:c r="C1362" s="143" t="str">
        <x:v>Agent</x:v>
      </x:c>
      <x:c r="D1362" s="143" t="str">
        <x:v>AI Agents / Harness Design</x:v>
      </x:c>
      <x:c r="E1362" s="143" t="str">
        <x:v>Agent; Harness Design</x:v>
      </x:c>
      <x:c r="F1362" s="143" t="str">
        <x:v>English</x:v>
      </x:c>
      <x:c r="G1362" s="143" t="str">
        <x:v>How To Build A Harness With Jev | A LangChain x TypeSafe Conversation</x:v>
      </x:c>
      <x:c r="H1362" s="143" t="str">
        <x:v>Sydney Runkle; Allie Laabs; Hunter Lovell</x:v>
      </x:c>
      <x:c r="I1362" s="143" t="str">
        <x:v>LangChain</x:v>
      </x:c>
      <x:c r="J1362" s="143" t="str">
        <x:v>Technical Conversation</x:v>
      </x:c>
      <x:c r="K1362" s="556" t="n">
        <x:v>48</x:v>
      </x:c>
      <x:c r="L1362" s="143" t="str">
        <x:v>https://www.youtube.com/watch?v=HHUsHkYhkcM</x:v>
      </x:c>
      <x:c r="M1362" s="143" t="str">
        <x:v>YouTube</x:v>
      </x:c>
      <x:c r="N1362" s="557" t="n">
        <x:v>21424</x:v>
      </x:c>
      <x:c r="O1362" s="143" t="str">
        <x:v>A | Official / Original Creator / Organizer</x:v>
      </x:c>
      <x:c r="P1362" s="143" t="str">
        <x:v>Recommended</x:v>
      </x:c>
      <x:c r="Q1362" s="143" t="str">
        <x:v>Verified</x:v>
      </x:c>
      <x:c r="R1362" s="558" t="n">
        <x:v>46291</x:v>
      </x:c>
      <x:c r="S1362" s="143" t="str">
        <x:v>Full technical conversation and Q&amp;A about Jev, model routing and safety classification. Distinct from the shorter build tutorial. Public watch-page metadata checked; playback and subtitles were not tested.</x:v>
      </x:c>
      <x:c r="T1362" s="143" t="str">
        <x:v>HHUsHkYhkcM</x:v>
      </x:c>
      <x:c r="U1362" s="143" t="str"/>
      <x:c r="V1362" s="559" t="str"/>
      <x:c r="W1362" s="143" t="str"/>
    </x:row>
    <x:row r="1363" ht="52.79999923706055" hidden="0" customHeight="1">
      <x:c r="A1363" s="143" t="str">
        <x:v>ST-1387</x:v>
      </x:c>
      <x:c r="B1363" s="143" t="str">
        <x:v>Course</x:v>
      </x:c>
      <x:c r="C1363" s="143" t="str">
        <x:v>Agent</x:v>
      </x:c>
      <x:c r="D1363" s="143" t="str">
        <x:v>AI Agents / Observability</x:v>
      </x:c>
      <x:c r="E1363" s="143" t="str">
        <x:v>Agent; Observability</x:v>
      </x:c>
      <x:c r="F1363" s="143" t="str">
        <x:v>English</x:v>
      </x:c>
      <x:c r="G1363" s="143" t="str">
        <x:v>What is LangSmith?</x:v>
      </x:c>
      <x:c r="H1363" s="143" t="str">
        <x:v>LangChain team</x:v>
      </x:c>
      <x:c r="I1363" s="143" t="str">
        <x:v>LangChain</x:v>
      </x:c>
      <x:c r="J1363" s="143" t="str">
        <x:v>Technical Tutorial</x:v>
      </x:c>
      <x:c r="K1363" s="556" t="n">
        <x:v>6</x:v>
      </x:c>
      <x:c r="L1363" s="143" t="str">
        <x:v>https://www.youtube.com/watch?v=KPcEhLoh-Wc</x:v>
      </x:c>
      <x:c r="M1363" s="143" t="str">
        <x:v>YouTube</x:v>
      </x:c>
      <x:c r="N1363" s="557" t="n">
        <x:v>7827</x:v>
      </x:c>
      <x:c r="O1363" s="143" t="str">
        <x:v>A | Official / Original Creator / Organizer</x:v>
      </x:c>
      <x:c r="P1363" s="143" t="str">
        <x:v>Recommended</x:v>
      </x:c>
      <x:c r="Q1363" s="143" t="str">
        <x:v>Verified</x:v>
      </x:c>
      <x:c r="R1363" s="558" t="n">
        <x:v>46291</x:v>
      </x:c>
      <x:c r="S1363" s="143" t="str">
        <x:v>Introduction to LangSmith and its role in developing and observing agent systems. Public watch-page metadata checked; playback and subtitles were not tested.</x:v>
      </x:c>
      <x:c r="T1363" s="143" t="str">
        <x:v>KPcEhLoh-Wc</x:v>
      </x:c>
      <x:c r="U1363" s="143" t="str"/>
      <x:c r="V1363" s="559" t="str"/>
      <x:c r="W1363" s="143" t="str"/>
    </x:row>
    <x:row r="1364" ht="52.79999923706055" hidden="0" customHeight="1">
      <x:c r="A1364" s="143" t="str">
        <x:v>ST-1388</x:v>
      </x:c>
      <x:c r="B1364" s="143" t="str">
        <x:v>Course</x:v>
      </x:c>
      <x:c r="C1364" s="143" t="str">
        <x:v>Agent</x:v>
      </x:c>
      <x:c r="D1364" s="143" t="str">
        <x:v>AI Agents / Coding Workflows</x:v>
      </x:c>
      <x:c r="E1364" s="143" t="str">
        <x:v>Agent; Coding Workflows</x:v>
      </x:c>
      <x:c r="F1364" s="143" t="str">
        <x:v>English</x:v>
      </x:c>
      <x:c r="G1364" s="143" t="str">
        <x:v>Ship a GitHub PR From a Slack Message with Managed Deep Agents</x:v>
      </x:c>
      <x:c r="H1364" s="143" t="str">
        <x:v>LangChain team</x:v>
      </x:c>
      <x:c r="I1364" s="143" t="str">
        <x:v>LangChain</x:v>
      </x:c>
      <x:c r="J1364" s="143" t="str">
        <x:v>Technical Tutorial</x:v>
      </x:c>
      <x:c r="K1364" s="556" t="n">
        <x:v>3</x:v>
      </x:c>
      <x:c r="L1364" s="143" t="str">
        <x:v>https://www.youtube.com/watch?v=4-oA1BJeyr4</x:v>
      </x:c>
      <x:c r="M1364" s="143" t="str">
        <x:v>YouTube</x:v>
      </x:c>
      <x:c r="N1364" s="557" t="n">
        <x:v>3264</x:v>
      </x:c>
      <x:c r="O1364" s="143" t="str">
        <x:v>A | Official / Original Creator / Organizer</x:v>
      </x:c>
      <x:c r="P1364" s="143" t="str">
        <x:v>Recommended</x:v>
      </x:c>
      <x:c r="Q1364" s="143" t="str">
        <x:v>Verified</x:v>
      </x:c>
      <x:c r="R1364" s="558" t="n">
        <x:v>46291</x:v>
      </x:c>
      <x:c r="S1364" s="143" t="str">
        <x:v>Demonstrates a Slack-to-GitHub pull-request workflow with Managed Deep Agents. Public watch-page metadata checked; playback and subtitles were not tested.</x:v>
      </x:c>
      <x:c r="T1364" s="143" t="str">
        <x:v>4-oA1BJeyr4</x:v>
      </x:c>
      <x:c r="U1364" s="143" t="str"/>
      <x:c r="V1364" s="559" t="str"/>
      <x:c r="W1364" s="143" t="str"/>
    </x:row>
    <x:row r="1365" ht="52.79999923706055" hidden="0" customHeight="1">
      <x:c r="A1365" s="143" t="str">
        <x:v>ST-1389</x:v>
      </x:c>
      <x:c r="B1365" s="143" t="str">
        <x:v>Course</x:v>
      </x:c>
      <x:c r="C1365" s="143" t="str">
        <x:v>Agent</x:v>
      </x:c>
      <x:c r="D1365" s="143" t="str">
        <x:v>AI Agents / Harness Design</x:v>
      </x:c>
      <x:c r="E1365" s="143" t="str">
        <x:v>Agent; Harness Design</x:v>
      </x:c>
      <x:c r="F1365" s="143" t="str">
        <x:v>English</x:v>
      </x:c>
      <x:c r="G1365" s="143" t="str">
        <x:v>Building a Harness with Jev</x:v>
      </x:c>
      <x:c r="H1365" s="143" t="str">
        <x:v>LangChain team</x:v>
      </x:c>
      <x:c r="I1365" s="143" t="str">
        <x:v>LangChain</x:v>
      </x:c>
      <x:c r="J1365" s="143" t="str">
        <x:v>Technical Tutorial</x:v>
      </x:c>
      <x:c r="K1365" s="556" t="n">
        <x:v>9</x:v>
      </x:c>
      <x:c r="L1365" s="143" t="str">
        <x:v>https://www.youtube.com/watch?v=VE5dsWll06M</x:v>
      </x:c>
      <x:c r="M1365" s="143" t="str">
        <x:v>YouTube</x:v>
      </x:c>
      <x:c r="N1365" s="557" t="n">
        <x:v>227977</x:v>
      </x:c>
      <x:c r="O1365" s="143" t="str">
        <x:v>A | Official / Original Creator / Organizer</x:v>
      </x:c>
      <x:c r="P1365" s="143" t="str">
        <x:v>Recommended</x:v>
      </x:c>
      <x:c r="Q1365" s="143" t="str">
        <x:v>Verified</x:v>
      </x:c>
      <x:c r="R1365" s="558" t="n">
        <x:v>46291</x:v>
      </x:c>
      <x:c r="S1365" s="143" t="str">
        <x:v>Build tutorial covering Jev in an agent loop, model routing, risky tool calls and online evaluation. Public watch-page metadata checked; playback and subtitles were not tested.</x:v>
      </x:c>
      <x:c r="T1365" s="143" t="str">
        <x:v>VE5dsWll06M</x:v>
      </x:c>
      <x:c r="U1365" s="143" t="str"/>
      <x:c r="V1365" s="559" t="str"/>
      <x:c r="W1365" s="143" t="str"/>
    </x:row>
    <x:row r="1366" ht="39.599998474121094" hidden="0" customHeight="1">
      <x:c r="A1366" s="143" t="str">
        <x:v>ST-1390</x:v>
      </x:c>
      <x:c r="B1366" s="143" t="str">
        <x:v>Course</x:v>
      </x:c>
      <x:c r="C1366" s="143" t="str">
        <x:v>Agent</x:v>
      </x:c>
      <x:c r="D1366" s="143" t="str">
        <x:v>AI Agents / Middleware</x:v>
      </x:c>
      <x:c r="E1366" s="143" t="str">
        <x:v>Agent; Middleware</x:v>
      </x:c>
      <x:c r="F1366" s="143" t="str">
        <x:v>English</x:v>
      </x:c>
      <x:c r="G1366" s="143" t="str">
        <x:v>Middleware for Managed Deep Agents</x:v>
      </x:c>
      <x:c r="H1366" s="143" t="str">
        <x:v>Nathan Drezner</x:v>
      </x:c>
      <x:c r="I1366" s="143" t="str">
        <x:v>LangChain</x:v>
      </x:c>
      <x:c r="J1366" s="143" t="str">
        <x:v>Technical Tutorial</x:v>
      </x:c>
      <x:c r="K1366" s="556" t="n">
        <x:v>5</x:v>
      </x:c>
      <x:c r="L1366" s="143" t="str">
        <x:v>https://www.youtube.com/watch?v=d6aNbE-3dxo</x:v>
      </x:c>
      <x:c r="M1366" s="143" t="str">
        <x:v>YouTube</x:v>
      </x:c>
      <x:c r="N1366" s="557" t="n">
        <x:v>3787</x:v>
      </x:c>
      <x:c r="O1366" s="143" t="str">
        <x:v>A | Official / Original Creator / Organizer</x:v>
      </x:c>
      <x:c r="P1366" s="143" t="str">
        <x:v>Recommended</x:v>
      </x:c>
      <x:c r="Q1366" s="143" t="str">
        <x:v>Verified</x:v>
      </x:c>
      <x:c r="R1366" s="558" t="n">
        <x:v>46291</x:v>
      </x:c>
      <x:c r="S1366" s="143" t="str">
        <x:v>Walkthrough of middleware for Managed Deep Agents. Public watch-page metadata checked; playback and subtitles were not tested.</x:v>
      </x:c>
      <x:c r="T1366" s="143" t="str">
        <x:v>d6aNbE-3dxo</x:v>
      </x:c>
      <x:c r="U1366" s="143" t="str"/>
      <x:c r="V1366" s="559" t="str"/>
      <x:c r="W1366" s="143" t="str"/>
    </x:row>
    <x:row r="1367" ht="66" hidden="0" customHeight="1">
      <x:c r="A1367" s="143" t="str">
        <x:v>ST-1391</x:v>
      </x:c>
      <x:c r="B1367" s="143" t="str">
        <x:v>Talk</x:v>
      </x:c>
      <x:c r="C1367" s="143" t="str">
        <x:v>Agent</x:v>
      </x:c>
      <x:c r="D1367" s="143" t="str">
        <x:v>AI Agents / Production Evaluation</x:v>
      </x:c>
      <x:c r="E1367" s="143" t="str">
        <x:v>Agent; Production Evaluation</x:v>
      </x:c>
      <x:c r="F1367" s="143" t="str">
        <x:v>English</x:v>
      </x:c>
      <x:c r="G1367" s="143" t="str">
        <x:v>How Lyft Increased Its Agent Resolution Rate by 16% with LangSmith and LangGraph</x:v>
      </x:c>
      <x:c r="H1367" s="143" t="str">
        <x:v>Akshay Sharma</x:v>
      </x:c>
      <x:c r="I1367" s="143" t="str">
        <x:v>LangChain</x:v>
      </x:c>
      <x:c r="J1367" s="143" t="str">
        <x:v>Engineering Case Study</x:v>
      </x:c>
      <x:c r="K1367" s="556" t="n">
        <x:v>4</x:v>
      </x:c>
      <x:c r="L1367" s="143" t="str">
        <x:v>https://www.youtube.com/watch?v=M9BMTC8o9-w</x:v>
      </x:c>
      <x:c r="M1367" s="143" t="str">
        <x:v>YouTube</x:v>
      </x:c>
      <x:c r="N1367" s="557" t="n">
        <x:v>6013</x:v>
      </x:c>
      <x:c r="O1367" s="143" t="str">
        <x:v>A | Official / Original Creator / Organizer</x:v>
      </x:c>
      <x:c r="P1367" s="143" t="str">
        <x:v>Recommended</x:v>
      </x:c>
      <x:c r="Q1367" s="143" t="str">
        <x:v>Verified</x:v>
      </x:c>
      <x:c r="R1367" s="558" t="n">
        <x:v>46291</x:v>
      </x:c>
      <x:c r="S1367" s="143" t="str">
        <x:v>Lyft case study on agent resolution and evaluation with LangSmith and LangGraph. Performance claims are those of the presenter. Public watch-page metadata checked; playback and subtitles were not tested.</x:v>
      </x:c>
      <x:c r="T1367" s="143" t="str">
        <x:v>M9BMTC8o9-w</x:v>
      </x:c>
      <x:c r="U1367" s="143" t="str"/>
      <x:c r="V1367" s="559" t="str"/>
      <x:c r="W1367" s="143" t="str"/>
    </x:row>
    <x:row r="1368" ht="39.599998474121094" hidden="0" customHeight="1">
      <x:c r="A1368" s="143" t="str">
        <x:v>ST-1392</x:v>
      </x:c>
      <x:c r="B1368" s="143" t="str">
        <x:v>Course</x:v>
      </x:c>
      <x:c r="C1368" s="143" t="str">
        <x:v>Agent</x:v>
      </x:c>
      <x:c r="D1368" s="143" t="str">
        <x:v>AI Agents / Team Workflows</x:v>
      </x:c>
      <x:c r="E1368" s="143" t="str">
        <x:v>Agent; Team Workflows</x:v>
      </x:c>
      <x:c r="F1368" s="143" t="str">
        <x:v>English</x:v>
      </x:c>
      <x:c r="G1368" s="143" t="str">
        <x:v>Share your Managed Deep Agent with your team using Slack</x:v>
      </x:c>
      <x:c r="H1368" s="143" t="str">
        <x:v>Nathan Drezner</x:v>
      </x:c>
      <x:c r="I1368" s="143" t="str">
        <x:v>LangChain</x:v>
      </x:c>
      <x:c r="J1368" s="143" t="str">
        <x:v>Technical Tutorial</x:v>
      </x:c>
      <x:c r="K1368" s="556" t="n">
        <x:v>5</x:v>
      </x:c>
      <x:c r="L1368" s="143" t="str">
        <x:v>https://www.youtube.com/watch?v=a5Yie-Bgx7A</x:v>
      </x:c>
      <x:c r="M1368" s="143" t="str">
        <x:v>YouTube</x:v>
      </x:c>
      <x:c r="N1368" s="557" t="n">
        <x:v>2863</x:v>
      </x:c>
      <x:c r="O1368" s="143" t="str">
        <x:v>A | Official / Original Creator / Organizer</x:v>
      </x:c>
      <x:c r="P1368" s="143" t="str">
        <x:v>Recommended</x:v>
      </x:c>
      <x:c r="Q1368" s="143" t="str">
        <x:v>Verified</x:v>
      </x:c>
      <x:c r="R1368" s="558" t="n">
        <x:v>46291</x:v>
      </x:c>
      <x:c r="S1368" s="143" t="str">
        <x:v>Shows how to share a Managed Deep Agent with a team through Slack. Public watch-page metadata checked; playback and subtitles were not tested.</x:v>
      </x:c>
      <x:c r="T1368" s="143" t="str">
        <x:v>a5Yie-Bgx7A</x:v>
      </x:c>
      <x:c r="U1368" s="143" t="str"/>
      <x:c r="V1368" s="559" t="str"/>
      <x:c r="W1368" s="143" t="str"/>
    </x:row>
    <x:row r="1369" ht="52.79999923706055" hidden="0" customHeight="1">
      <x:c r="A1369" s="143" t="str">
        <x:v>ST-1393</x:v>
      </x:c>
      <x:c r="B1369" s="143" t="str">
        <x:v>Course</x:v>
      </x:c>
      <x:c r="C1369" s="143" t="str">
        <x:v>World Model</x:v>
      </x:c>
      <x:c r="D1369" s="143" t="str">
        <x:v>World Models / Weather Dynamics</x:v>
      </x:c>
      <x:c r="E1369" s="143" t="str">
        <x:v>World Model; Weather Dynamics</x:v>
      </x:c>
      <x:c r="F1369" s="143" t="str">
        <x:v>English</x:v>
      </x:c>
      <x:c r="G1369" s="143" t="str">
        <x:v>Predict next week's weather yourself</x:v>
      </x:c>
      <x:c r="H1369" s="143" t="str">
        <x:v>Emma Scharfmann; Aritra Roy Gosthipaty</x:v>
      </x:c>
      <x:c r="I1369" s="143" t="str">
        <x:v>Hugging Face</x:v>
      </x:c>
      <x:c r="J1369" s="143" t="str">
        <x:v>Technical Tutorial</x:v>
      </x:c>
      <x:c r="K1369" s="556" t="n">
        <x:v>31</x:v>
      </x:c>
      <x:c r="L1369" s="143" t="str">
        <x:v>https://www.youtube.com/watch?v=1jq7sC6IjMk</x:v>
      </x:c>
      <x:c r="M1369" s="143" t="str">
        <x:v>YouTube</x:v>
      </x:c>
      <x:c r="N1369" s="557" t="n">
        <x:v>6881</x:v>
      </x:c>
      <x:c r="O1369" s="143" t="str">
        <x:v>A | Official / Original Creator / Organizer</x:v>
      </x:c>
      <x:c r="P1369" s="143" t="str">
        <x:v>Recommended</x:v>
      </x:c>
      <x:c r="Q1369" s="143" t="str">
        <x:v>Verified</x:v>
      </x:c>
      <x:c r="R1369" s="558" t="n">
        <x:v>46291</x:v>
      </x:c>
      <x:c r="S1369" s="143" t="str">
        <x:v>Code walkthrough of open-source neural weather forecasting and the surrounding Hugging Face tooling. Public watch-page metadata checked; playback and subtitles were not tested.</x:v>
      </x:c>
      <x:c r="T1369" s="143" t="str">
        <x:v>1jq7sC6IjMk</x:v>
      </x:c>
      <x:c r="U1369" s="143" t="str"/>
      <x:c r="V1369" s="559" t="str"/>
      <x:c r="W1369" s="143" t="str"/>
    </x:row>
    <x:row r="1370" ht="52.79999923706055" hidden="0" customHeight="1">
      <x:c r="A1370" s="143" t="str">
        <x:v>ST-1394</x:v>
      </x:c>
      <x:c r="B1370" s="143" t="str">
        <x:v>Course</x:v>
      </x:c>
      <x:c r="C1370" s="143" t="str">
        <x:v>Agent</x:v>
      </x:c>
      <x:c r="D1370" s="143" t="str">
        <x:v>AI Agents / Structured Outputs</x:v>
      </x:c>
      <x:c r="E1370" s="143" t="str">
        <x:v>Agent; Structured Outputs</x:v>
      </x:c>
      <x:c r="F1370" s="143" t="str">
        <x:v>English</x:v>
      </x:c>
      <x:c r="G1370" s="143" t="str">
        <x:v>Transformers.js v4.3: Structured Output in the browser</x:v>
      </x:c>
      <x:c r="H1370" s="143" t="str">
        <x:v>Hugging Face team</x:v>
      </x:c>
      <x:c r="I1370" s="143" t="str">
        <x:v>Hugging Face</x:v>
      </x:c>
      <x:c r="J1370" s="143" t="str">
        <x:v>Technical Tutorial</x:v>
      </x:c>
      <x:c r="K1370" s="556" t="n">
        <x:v>11</x:v>
      </x:c>
      <x:c r="L1370" s="143" t="str">
        <x:v>https://www.youtube.com/watch?v=InnVG6pOPpM</x:v>
      </x:c>
      <x:c r="M1370" s="143" t="str">
        <x:v>YouTube</x:v>
      </x:c>
      <x:c r="N1370" s="557" t="n">
        <x:v>4125</x:v>
      </x:c>
      <x:c r="O1370" s="143" t="str">
        <x:v>A | Official / Original Creator / Organizer</x:v>
      </x:c>
      <x:c r="P1370" s="143" t="str">
        <x:v>Recommended</x:v>
      </x:c>
      <x:c r="Q1370" s="143" t="str">
        <x:v>Verified</x:v>
      </x:c>
      <x:c r="R1370" s="558" t="n">
        <x:v>46291</x:v>
      </x:c>
      <x:c r="S1370" s="143" t="str">
        <x:v>Browser-side constrained decoding with JSON Schema and regular expressions in Transformers.js 4.3. Public watch-page metadata checked; playback and subtitles were not tested.</x:v>
      </x:c>
      <x:c r="T1370" s="143" t="str">
        <x:v>InnVG6pOPpM</x:v>
      </x:c>
      <x:c r="U1370" s="143" t="str"/>
      <x:c r="V1370" s="559" t="str"/>
      <x:c r="W1370" s="143" t="str"/>
    </x:row>
    <x:row r="1371" ht="52.79999923706055" hidden="0" customHeight="1">
      <x:c r="A1371" s="143" t="str">
        <x:v>ST-1395</x:v>
      </x:c>
      <x:c r="B1371" s="143" t="str">
        <x:v>Course</x:v>
      </x:c>
      <x:c r="C1371" s="143" t="str">
        <x:v>Vision</x:v>
      </x:c>
      <x:c r="D1371" s="143" t="str">
        <x:v>Vision / Flow Matching</x:v>
      </x:c>
      <x:c r="E1371" s="143" t="str">
        <x:v>Vision; Flow Matching</x:v>
      </x:c>
      <x:c r="F1371" s="143" t="str">
        <x:v>English</x:v>
      </x:c>
      <x:c r="G1371" s="143" t="str">
        <x:v>Flow matching for Beginners | @ariG23498</x:v>
      </x:c>
      <x:c r="H1371" s="143" t="str">
        <x:v>Aritra Roy Gosthipaty</x:v>
      </x:c>
      <x:c r="I1371" s="143" t="str">
        <x:v>Hugging Face</x:v>
      </x:c>
      <x:c r="J1371" s="143" t="str">
        <x:v>Technical Tutorial</x:v>
      </x:c>
      <x:c r="K1371" s="556" t="n">
        <x:v>28</x:v>
      </x:c>
      <x:c r="L1371" s="143" t="str">
        <x:v>https://www.youtube.com/watch?v=hXQZ6lyRCsI</x:v>
      </x:c>
      <x:c r="M1371" s="143" t="str">
        <x:v>YouTube</x:v>
      </x:c>
      <x:c r="N1371" s="557" t="n">
        <x:v>5244</x:v>
      </x:c>
      <x:c r="O1371" s="143" t="str">
        <x:v>A | Official / Original Creator / Organizer</x:v>
      </x:c>
      <x:c r="P1371" s="143" t="str">
        <x:v>Core</x:v>
      </x:c>
      <x:c r="Q1371" s="143" t="str">
        <x:v>Verified</x:v>
      </x:c>
      <x:c r="R1371" s="558" t="n">
        <x:v>46291</x:v>
      </x:c>
      <x:c r="S1371" s="143" t="str">
        <x:v>Visual introduction to noise-to-image generation, velocity prediction and flow-matching training. Public watch-page metadata checked; playback and subtitles were not tested.</x:v>
      </x:c>
      <x:c r="T1371" s="143" t="str">
        <x:v>hXQZ6lyRCsI</x:v>
      </x:c>
      <x:c r="U1371" s="143" t="str"/>
      <x:c r="V1371" s="559" t="str"/>
      <x:c r="W1371" s="143" t="str"/>
    </x:row>
    <x:row r="1372" ht="52.79999923706055" hidden="0" customHeight="1">
      <x:c r="A1372" s="143" t="str">
        <x:v>ST-1396</x:v>
      </x:c>
      <x:c r="B1372" s="143" t="str">
        <x:v>Course</x:v>
      </x:c>
      <x:c r="C1372" s="143" t="str">
        <x:v>Agent</x:v>
      </x:c>
      <x:c r="D1372" s="143" t="str">
        <x:v>AI Agents / Spec-Driven Development</x:v>
      </x:c>
      <x:c r="E1372" s="143" t="str">
        <x:v>Agent; Spec-Driven Development</x:v>
      </x:c>
      <x:c r="F1372" s="143" t="str">
        <x:v>English</x:v>
      </x:c>
      <x:c r="G1372" s="143" t="str">
        <x:v>Full Course: Spec-Driven Development with Coding Agents</x:v>
      </x:c>
      <x:c r="H1372" s="143" t="str">
        <x:v>Paul Everitt</x:v>
      </x:c>
      <x:c r="I1372" s="143" t="str">
        <x:v>DeepLearningAI</x:v>
      </x:c>
      <x:c r="J1372" s="143" t="str">
        <x:v>Full Course</x:v>
      </x:c>
      <x:c r="K1372" s="556" t="n">
        <x:v>62</x:v>
      </x:c>
      <x:c r="L1372" s="143" t="str">
        <x:v>https://www.youtube.com/watch?v=hy8UstR2NEg</x:v>
      </x:c>
      <x:c r="M1372" s="143" t="str">
        <x:v>YouTube</x:v>
      </x:c>
      <x:c r="N1372" s="557" t="n">
        <x:v>128585</x:v>
      </x:c>
      <x:c r="O1372" s="143" t="str">
        <x:v>A | Official / Original Creator / Organizer</x:v>
      </x:c>
      <x:c r="P1372" s="143" t="str">
        <x:v>Core</x:v>
      </x:c>
      <x:c r="Q1372" s="143" t="str">
        <x:v>Verified</x:v>
      </x:c>
      <x:c r="R1372" s="558" t="n">
        <x:v>46291</x:v>
      </x:c>
      <x:c r="S1372" s="143" t="str">
        <x:v>Full DeepLearning.AI and JetBrains course on specifications, planning, implementation, validation and reusable agent skills. Public watch-page metadata checked; playback and subtitles were not tested.</x:v>
      </x:c>
      <x:c r="T1372" s="143" t="str">
        <x:v>hy8UstR2NEg</x:v>
      </x:c>
      <x:c r="U1372" s="143" t="str"/>
      <x:c r="V1372" s="559" t="str"/>
      <x:c r="W1372" s="143" t="str"/>
    </x:row>
    <x:row r="1373" ht="66" hidden="0" customHeight="1">
      <x:c r="A1373" s="143" t="str">
        <x:v>ST-1397</x:v>
      </x:c>
      <x:c r="B1373" s="143" t="str">
        <x:v>Course</x:v>
      </x:c>
      <x:c r="C1373" s="143" t="str">
        <x:v>Agent</x:v>
      </x:c>
      <x:c r="D1373" s="143" t="str">
        <x:v>AI Agents / On-Device Memory</x:v>
      </x:c>
      <x:c r="E1373" s="143" t="str">
        <x:v>Agent; On-Device Memory</x:v>
      </x:c>
      <x:c r="F1373" s="143" t="str">
        <x:v>English</x:v>
      </x:c>
      <x:c r="G1373" s="143" t="str">
        <x:v>Building AI Assistants with On-Device Memory</x:v>
      </x:c>
      <x:c r="H1373" s="143" t="str">
        <x:v>Dylan Couzon</x:v>
      </x:c>
      <x:c r="I1373" s="143" t="str">
        <x:v>DeepLearningAI</x:v>
      </x:c>
      <x:c r="J1373" s="143" t="str">
        <x:v>Course Preview</x:v>
      </x:c>
      <x:c r="K1373" s="556" t="n">
        <x:v>2</x:v>
      </x:c>
      <x:c r="L1373" s="143" t="str">
        <x:v>https://www.youtube.com/watch?v=uRGHx-1CqBQ</x:v>
      </x:c>
      <x:c r="M1373" s="143" t="str">
        <x:v>YouTube</x:v>
      </x:c>
      <x:c r="N1373" s="557" t="n">
        <x:v>8149</x:v>
      </x:c>
      <x:c r="O1373" s="143" t="str">
        <x:v>A | Official / Original Creator / Organizer</x:v>
      </x:c>
      <x:c r="P1373" s="143" t="str">
        <x:v>Recommended</x:v>
      </x:c>
      <x:c r="Q1373" s="143" t="str">
        <x:v>Verified</x:v>
      </x:c>
      <x:c r="R1373" s="558" t="n">
        <x:v>46291</x:v>
      </x:c>
      <x:c r="S1373" s="143" t="str">
        <x:v>Course preview only, not the full course. Introduces local text/image memory and offline assistant development with Qdrant. Public watch-page metadata checked; playback and subtitles were not tested.</x:v>
      </x:c>
      <x:c r="T1373" s="143" t="str">
        <x:v>uRGHx-1CqBQ</x:v>
      </x:c>
      <x:c r="U1373" s="143" t="str"/>
      <x:c r="V1373" s="559" t="str"/>
      <x:c r="W1373" s="143" t="str"/>
    </x:row>
    <x:row r="1374" ht="66" hidden="0" customHeight="1">
      <x:c r="A1374" s="143" t="str">
        <x:v>ST-1398</x:v>
      </x:c>
      <x:c r="B1374" s="143" t="str">
        <x:v>Talk</x:v>
      </x:c>
      <x:c r="C1374" s="143" t="str">
        <x:v>Agent</x:v>
      </x:c>
      <x:c r="D1374" s="143" t="str">
        <x:v>AI Agents / Model Foundations</x:v>
      </x:c>
      <x:c r="E1374" s="143" t="str">
        <x:v>Agent; Model Foundations</x:v>
      </x:c>
      <x:c r="F1374" s="143" t="str">
        <x:v>English</x:v>
      </x:c>
      <x:c r="G1374" s="143" t="str">
        <x:v>Debjyoti Paul - The mathematics behind transformer and attention mechanism</x:v>
      </x:c>
      <x:c r="H1374" s="143" t="str">
        <x:v>Debjyoti Paul</x:v>
      </x:c>
      <x:c r="I1374" s="143" t="str">
        <x:v>Cohere</x:v>
      </x:c>
      <x:c r="J1374" s="143" t="str">
        <x:v>Research Talk</x:v>
      </x:c>
      <x:c r="K1374" s="556" t="n">
        <x:v>56</x:v>
      </x:c>
      <x:c r="L1374" s="143" t="str">
        <x:v>https://www.youtube.com/watch?v=__p8I5CgaCA</x:v>
      </x:c>
      <x:c r="M1374" s="143" t="str">
        <x:v>YouTube</x:v>
      </x:c>
      <x:c r="N1374" s="557" t="n">
        <x:v>298</x:v>
      </x:c>
      <x:c r="O1374" s="143" t="str">
        <x:v>A | Official / Original Creator / Organizer</x:v>
      </x:c>
      <x:c r="P1374" s="143" t="str">
        <x:v>Recommended</x:v>
      </x:c>
      <x:c r="Q1374" s="143" t="str">
        <x:v>Verified</x:v>
      </x:c>
      <x:c r="R1374" s="558" t="n">
        <x:v>46291</x:v>
      </x:c>
      <x:c r="S1374" s="143" t="str">
        <x:v>Mathematical background for LLM-based agents: positional encoding, RoPE, attention and inference approximations. This is a foundations talk, not an agent build tutorial. Public watch-page metadata checked; playback and subtitles were not tested.</x:v>
      </x:c>
      <x:c r="T1374" s="143" t="str">
        <x:v>__p8I5CgaCA</x:v>
      </x:c>
      <x:c r="U1374" s="143" t="str"/>
      <x:c r="V1374" s="559" t="str"/>
      <x:c r="W1374" s="143" t="str"/>
    </x:row>
    <x:row r="1375" ht="79.19999694824219" hidden="0" customHeight="1">
      <x:c r="A1375" s="143" t="str">
        <x:v>ST-1399</x:v>
      </x:c>
      <x:c r="B1375" s="143" t="str">
        <x:v>Course</x:v>
      </x:c>
      <x:c r="C1375" s="143" t="str">
        <x:v>World Model</x:v>
      </x:c>
      <x:c r="D1375" s="143" t="str">
        <x:v>World Model / Paper Walkthroughs</x:v>
      </x:c>
      <x:c r="E1375" s="143" t="str">
        <x:v>World Model; Paper Walkthroughs</x:v>
      </x:c>
      <x:c r="F1375" s="143" t="str">
        <x:v>Chinese</x:v>
      </x:c>
      <x:c r="G1375" s="143" t="str">
        <x:v>ReGen: World Action Models for Continual Imitation Learning</x:v>
      </x:c>
      <x:c r="H1375" s="143" t="str">
        <x:v>Community presenter (not the paper authors)</x:v>
      </x:c>
      <x:c r="I1375" s="143" t="str">
        <x:v>Baishi Physical AI Reading Group</x:v>
      </x:c>
      <x:c r="J1375" s="143" t="str">
        <x:v>Community Paper Tutorial</x:v>
      </x:c>
      <x:c r="K1375" s="556" t="n">
        <x:v>31</x:v>
      </x:c>
      <x:c r="L1375" s="143" t="str">
        <x:v>https://www.bilibili.com/video/BV1kMev6WEgU/</x:v>
      </x:c>
      <x:c r="M1375" s="143" t="str">
        <x:v>Bilibili</x:v>
      </x:c>
      <x:c r="N1375" s="557" t="n">
        <x:v>64</x:v>
      </x:c>
      <x:c r="O1375" s="143" t="str">
        <x:v>B | Independent Technical Creator</x:v>
      </x:c>
      <x:c r="P1375" s="143" t="str">
        <x:v>Recommended</x:v>
      </x:c>
      <x:c r="Q1375" s="143" t="str">
        <x:v>Pending Verification</x:v>
      </x:c>
      <x:c r="R1375" s="558" t="n">
        <x:v>46291</x:v>
      </x:c>
      <x:c r="S1375" s="143" t="str">
        <x:v>Community walkthrough of recurrent generative replay. The upload includes horizontal and vertical versions; counted once. Bilibili search API confirms the upload metadata; watch-page access and playback remain unverified. Duration is the upload total and may include alternative-format parts.</x:v>
      </x:c>
      <x:c r="T1375" s="143" t="str">
        <x:v>BV1kMev6WEgU</x:v>
      </x:c>
      <x:c r="U1375" s="143" t="str"/>
      <x:c r="V1375" s="559" t="str"/>
      <x:c r="W1375" s="143" t="str"/>
    </x:row>
    <x:row r="1376" ht="79.19999694824219" hidden="0" customHeight="1">
      <x:c r="A1376" s="143" t="str">
        <x:v>ST-1400</x:v>
      </x:c>
      <x:c r="B1376" s="143" t="str">
        <x:v>Course</x:v>
      </x:c>
      <x:c r="C1376" s="143" t="str">
        <x:v>Agent</x:v>
      </x:c>
      <x:c r="D1376" s="143" t="str">
        <x:v>Agent / Paper Walkthroughs</x:v>
      </x:c>
      <x:c r="E1376" s="143" t="str">
        <x:v>Agent; Paper Walkthroughs</x:v>
      </x:c>
      <x:c r="F1376" s="143" t="str">
        <x:v>Chinese</x:v>
      </x:c>
      <x:c r="G1376" s="143" t="str">
        <x:v>Guava: A Universal Harness for Embodied Manipulation</x:v>
      </x:c>
      <x:c r="H1376" s="143" t="str">
        <x:v>Community presenter (not the paper authors)</x:v>
      </x:c>
      <x:c r="I1376" s="143" t="str">
        <x:v>Baishi Physical AI Reading Group</x:v>
      </x:c>
      <x:c r="J1376" s="143" t="str">
        <x:v>Community Paper Tutorial</x:v>
      </x:c>
      <x:c r="K1376" s="556" t="n">
        <x:v>30</x:v>
      </x:c>
      <x:c r="L1376" s="143" t="str">
        <x:v>https://www.bilibili.com/video/BV1BLev6UE2W/</x:v>
      </x:c>
      <x:c r="M1376" s="143" t="str">
        <x:v>Bilibili</x:v>
      </x:c>
      <x:c r="N1376" s="557" t="n">
        <x:v>179</x:v>
      </x:c>
      <x:c r="O1376" s="143" t="str">
        <x:v>B | Independent Technical Creator</x:v>
      </x:c>
      <x:c r="P1376" s="143" t="str">
        <x:v>Recommended</x:v>
      </x:c>
      <x:c r="Q1376" s="143" t="str">
        <x:v>Pending Verification</x:v>
      </x:c>
      <x:c r="R1376" s="558" t="n">
        <x:v>46291</x:v>
      </x:c>
      <x:c r="S1376" s="143" t="str">
        <x:v>Community walkthrough of a tool-using embodied-agent harness. Alternate aspect-ratio parts are counted once. Bilibili search API confirms the upload metadata; watch-page access and playback remain unverified. Duration is the upload total and may include alternative-format parts.</x:v>
      </x:c>
      <x:c r="T1376" s="143" t="str">
        <x:v>BV1BLev6UE2W</x:v>
      </x:c>
      <x:c r="U1376" s="143" t="str"/>
      <x:c r="V1376" s="559" t="str"/>
      <x:c r="W1376" s="143" t="str"/>
    </x:row>
    <x:row r="1377" ht="79.19999694824219" hidden="0" customHeight="1">
      <x:c r="A1377" s="143" t="str">
        <x:v>ST-1401</x:v>
      </x:c>
      <x:c r="B1377" s="143" t="str">
        <x:v>Course</x:v>
      </x:c>
      <x:c r="C1377" s="143" t="str">
        <x:v>Robotics</x:v>
      </x:c>
      <x:c r="D1377" s="143" t="str">
        <x:v>Robotics / Paper Walkthroughs</x:v>
      </x:c>
      <x:c r="E1377" s="143" t="str">
        <x:v>Robotics; Paper Walkthroughs</x:v>
      </x:c>
      <x:c r="F1377" s="143" t="str">
        <x:v>Chinese</x:v>
      </x:c>
      <x:c r="G1377" s="143" t="str">
        <x:v>Continual VLA: Learning from Real-World Data without Forgetting</x:v>
      </x:c>
      <x:c r="H1377" s="143" t="str">
        <x:v>Community presenter (not the paper authors)</x:v>
      </x:c>
      <x:c r="I1377" s="143" t="str">
        <x:v>Baishi Physical AI Reading Group</x:v>
      </x:c>
      <x:c r="J1377" s="143" t="str">
        <x:v>Community Paper Tutorial</x:v>
      </x:c>
      <x:c r="K1377" s="556" t="n">
        <x:v>39</x:v>
      </x:c>
      <x:c r="L1377" s="143" t="str">
        <x:v>https://www.bilibili.com/video/BV1ghev6BEaR/</x:v>
      </x:c>
      <x:c r="M1377" s="143" t="str">
        <x:v>Bilibili</x:v>
      </x:c>
      <x:c r="N1377" s="557" t="n">
        <x:v>112</x:v>
      </x:c>
      <x:c r="O1377" s="143" t="str">
        <x:v>B | Independent Technical Creator</x:v>
      </x:c>
      <x:c r="P1377" s="143" t="str">
        <x:v>Recommended</x:v>
      </x:c>
      <x:c r="Q1377" s="143" t="str">
        <x:v>Pending Verification</x:v>
      </x:c>
      <x:c r="R1377" s="558" t="n">
        <x:v>46291</x:v>
      </x:c>
      <x:c r="S1377" s="143" t="str">
        <x:v>Community paper walkthrough on continual VLA learning and replay. Alternate aspect-ratio parts are counted once. Bilibili search API confirms the upload metadata; watch-page access and playback remain unverified. Duration is the upload total and may include alternative-format parts.</x:v>
      </x:c>
      <x:c r="T1377" s="143" t="str">
        <x:v>BV1ghev6BEaR</x:v>
      </x:c>
      <x:c r="U1377" s="143" t="str"/>
      <x:c r="V1377" s="559" t="str"/>
      <x:c r="W1377" s="143" t="str"/>
    </x:row>
    <x:row r="1378" ht="79.19999694824219" hidden="0" customHeight="1">
      <x:c r="A1378" s="143" t="str">
        <x:v>ST-1402</x:v>
      </x:c>
      <x:c r="B1378" s="143" t="str">
        <x:v>Course</x:v>
      </x:c>
      <x:c r="C1378" s="143" t="str">
        <x:v>Robotics</x:v>
      </x:c>
      <x:c r="D1378" s="143" t="str">
        <x:v>Robotics / Paper Walkthroughs</x:v>
      </x:c>
      <x:c r="E1378" s="143" t="str">
        <x:v>Robotics; Paper Walkthroughs</x:v>
      </x:c>
      <x:c r="F1378" s="143" t="str">
        <x:v>Chinese</x:v>
      </x:c>
      <x:c r="G1378" s="143" t="str">
        <x:v>Mobile UMI: Cross-View Diffusion Policies for Mobile Manipulation</x:v>
      </x:c>
      <x:c r="H1378" s="143" t="str">
        <x:v>Community presenter (not the paper authors)</x:v>
      </x:c>
      <x:c r="I1378" s="143" t="str">
        <x:v>Baishi Physical AI Reading Group</x:v>
      </x:c>
      <x:c r="J1378" s="143" t="str">
        <x:v>Community Paper Tutorial</x:v>
      </x:c>
      <x:c r="K1378" s="556" t="n">
        <x:v>33</x:v>
      </x:c>
      <x:c r="L1378" s="143" t="str">
        <x:v>https://www.bilibili.com/video/BV1Tqev6eE1y/</x:v>
      </x:c>
      <x:c r="M1378" s="143" t="str">
        <x:v>Bilibili</x:v>
      </x:c>
      <x:c r="N1378" s="557" t="n">
        <x:v>82</x:v>
      </x:c>
      <x:c r="O1378" s="143" t="str">
        <x:v>B | Independent Technical Creator</x:v>
      </x:c>
      <x:c r="P1378" s="143" t="str">
        <x:v>Recommended</x:v>
      </x:c>
      <x:c r="Q1378" s="143" t="str">
        <x:v>Pending Verification</x:v>
      </x:c>
      <x:c r="R1378" s="558" t="n">
        <x:v>46291</x:v>
      </x:c>
      <x:c r="S1378" s="143" t="str">
        <x:v>Community explanation of robot-free demonstrations and decoupled kinematics. Alternate aspect-ratio parts are counted once. Bilibili search API confirms the upload metadata; watch-page access and playback remain unverified. Duration is the upload total and may include alternative-format parts.</x:v>
      </x:c>
      <x:c r="T1378" s="143" t="str">
        <x:v>BV1Tqev6eE1y</x:v>
      </x:c>
      <x:c r="U1378" s="143" t="str"/>
      <x:c r="V1378" s="559" t="str"/>
      <x:c r="W1378" s="143" t="str"/>
    </x:row>
    <x:row r="1379" ht="79.19999694824219" hidden="0" customHeight="1">
      <x:c r="A1379" s="143" t="str">
        <x:v>ST-1403</x:v>
      </x:c>
      <x:c r="B1379" s="143" t="str">
        <x:v>Course</x:v>
      </x:c>
      <x:c r="C1379" s="143" t="str">
        <x:v>Robotics</x:v>
      </x:c>
      <x:c r="D1379" s="143" t="str">
        <x:v>Robotics / Paper Walkthroughs</x:v>
      </x:c>
      <x:c r="E1379" s="143" t="str">
        <x:v>Robotics; Paper Walkthroughs</x:v>
      </x:c>
      <x:c r="F1379" s="143" t="str">
        <x:v>Chinese</x:v>
      </x:c>
      <x:c r="G1379" s="143" t="str">
        <x:v>SOLE-R1: Video-Language Reasoning as a Reward for Robot RL</x:v>
      </x:c>
      <x:c r="H1379" s="143" t="str">
        <x:v>Community presenter (not the paper authors)</x:v>
      </x:c>
      <x:c r="I1379" s="143" t="str">
        <x:v>Baishi Physical AI Reading Group</x:v>
      </x:c>
      <x:c r="J1379" s="143" t="str">
        <x:v>Community Paper Tutorial</x:v>
      </x:c>
      <x:c r="K1379" s="556" t="n">
        <x:v>33</x:v>
      </x:c>
      <x:c r="L1379" s="143" t="str">
        <x:v>https://www.bilibili.com/video/BV19Kei6CEMN/</x:v>
      </x:c>
      <x:c r="M1379" s="143" t="str">
        <x:v>Bilibili</x:v>
      </x:c>
      <x:c r="N1379" s="557" t="n">
        <x:v>63</x:v>
      </x:c>
      <x:c r="O1379" s="143" t="str">
        <x:v>B | Independent Technical Creator</x:v>
      </x:c>
      <x:c r="P1379" s="143" t="str">
        <x:v>Recommended</x:v>
      </x:c>
      <x:c r="Q1379" s="143" t="str">
        <x:v>Pending Verification</x:v>
      </x:c>
      <x:c r="R1379" s="558" t="n">
        <x:v>46291</x:v>
      </x:c>
      <x:c r="S1379" s="143" t="str">
        <x:v>Community walkthrough of video-language reasoning as a robot reinforcement-learning reward. Alternate aspect-ratio parts are counted once. Bilibili search API confirms the upload metadata; watch-page access and playback remain unverified. Duration is the upload total and may include alternative-format parts.</x:v>
      </x:c>
      <x:c r="T1379" s="143" t="str">
        <x:v>BV19Kei6CEMN</x:v>
      </x:c>
      <x:c r="U1379" s="143" t="str"/>
      <x:c r="V1379" s="559" t="str"/>
      <x:c r="W1379" s="143" t="str"/>
    </x:row>
    <x:row r="1380" ht="79.19999694824219" hidden="0" customHeight="1">
      <x:c r="A1380" s="143" t="str">
        <x:v>ST-1404</x:v>
      </x:c>
      <x:c r="B1380" s="143" t="str">
        <x:v>Course</x:v>
      </x:c>
      <x:c r="C1380" s="143" t="str">
        <x:v>Agent</x:v>
      </x:c>
      <x:c r="D1380" s="143" t="str">
        <x:v>Agent / Paper Walkthroughs</x:v>
      </x:c>
      <x:c r="E1380" s="143" t="str">
        <x:v>Agent; Paper Walkthroughs</x:v>
      </x:c>
      <x:c r="F1380" s="143" t="str">
        <x:v>Chinese</x:v>
      </x:c>
      <x:c r="G1380" s="143" t="str">
        <x:v>CaP-X: Benchmarking and Improving Coding Agents for Robot Manipulation</x:v>
      </x:c>
      <x:c r="H1380" s="143" t="str">
        <x:v>Community presenter (not the paper authors)</x:v>
      </x:c>
      <x:c r="I1380" s="143" t="str">
        <x:v>Baishi Physical AI Reading Group</x:v>
      </x:c>
      <x:c r="J1380" s="143" t="str">
        <x:v>Community Paper Tutorial</x:v>
      </x:c>
      <x:c r="K1380" s="556" t="n">
        <x:v>38</x:v>
      </x:c>
      <x:c r="L1380" s="143" t="str">
        <x:v>https://www.bilibili.com/video/BV1eKei6yEc8/</x:v>
      </x:c>
      <x:c r="M1380" s="143" t="str">
        <x:v>Bilibili</x:v>
      </x:c>
      <x:c r="N1380" s="557" t="n">
        <x:v>62</x:v>
      </x:c>
      <x:c r="O1380" s="143" t="str">
        <x:v>B | Independent Technical Creator</x:v>
      </x:c>
      <x:c r="P1380" s="143" t="str">
        <x:v>Recommended</x:v>
      </x:c>
      <x:c r="Q1380" s="143" t="str">
        <x:v>Pending Verification</x:v>
      </x:c>
      <x:c r="R1380" s="558" t="n">
        <x:v>46291</x:v>
      </x:c>
      <x:c r="S1380" s="143" t="str">
        <x:v>Community explanation of code-based robot control and coding-agent evaluation. Alternate aspect-ratio parts are counted once. Bilibili search API confirms the upload metadata; watch-page access and playback remain unverified. Duration is the upload total and may include alternative-format parts.</x:v>
      </x:c>
      <x:c r="T1380" s="143" t="str">
        <x:v>BV1eKei6yEc8</x:v>
      </x:c>
      <x:c r="U1380" s="143" t="str"/>
      <x:c r="V1380" s="559" t="str"/>
      <x:c r="W1380" s="143" t="str"/>
    </x:row>
    <x:row r="1381" ht="66" hidden="0" customHeight="1">
      <x:c r="A1381" s="143" t="str">
        <x:v>ST-1405</x:v>
      </x:c>
      <x:c r="B1381" s="143" t="str">
        <x:v>Talk</x:v>
      </x:c>
      <x:c r="C1381" s="143" t="str">
        <x:v>Robotics</x:v>
      </x:c>
      <x:c r="D1381" s="143" t="str">
        <x:v>Robotics / Data Infrastructure</x:v>
      </x:c>
      <x:c r="E1381" s="143" t="str">
        <x:v>Robotics; Data Infrastructure</x:v>
      </x:c>
      <x:c r="F1381" s="143" t="str">
        <x:v>Chinese</x:v>
      </x:c>
      <x:c r="G1381" s="143" t="str">
        <x:v>Unifying Robot Data: Managing ROS Messages at the Edge with Apache TsFile</x:v>
      </x:c>
      <x:c r="H1381" s="143" t="str">
        <x:v>Ansi Zhang</x:v>
      </x:c>
      <x:c r="I1381" s="143" t="str">
        <x:v>ALC_Beijing</x:v>
      </x:c>
      <x:c r="J1381" s="143" t="str">
        <x:v>Engineering Talk</x:v>
      </x:c>
      <x:c r="K1381" s="556" t="n">
        <x:v>31</x:v>
      </x:c>
      <x:c r="L1381" s="143" t="str">
        <x:v>https://www.bilibili.com/video/BV1EAhH6zEEf/</x:v>
      </x:c>
      <x:c r="M1381" s="143" t="str">
        <x:v>Bilibili</x:v>
      </x:c>
      <x:c r="N1381" s="557" t="n">
        <x:v>81</x:v>
      </x:c>
      <x:c r="O1381" s="143" t="str">
        <x:v>A | Official / Original Creator / Organizer</x:v>
      </x:c>
      <x:c r="P1381" s="143" t="str">
        <x:v>Recommended</x:v>
      </x:c>
      <x:c r="Q1381" s="143" t="str">
        <x:v>Pending Verification</x:v>
      </x:c>
      <x:c r="R1381" s="558" t="n">
        <x:v>46291</x:v>
      </x:c>
      <x:c r="S1381" s="143" t="str">
        <x:v>Presentation of an open-source bridge between ROS messages and Apache TsFile. Bilibili search API confirms the upload metadata; watch-page access and playback remain unverified. Duration is the upload total and may include alternative-format parts.</x:v>
      </x:c>
      <x:c r="T1381" s="143" t="str">
        <x:v>BV1EAhH6zEEf</x:v>
      </x:c>
      <x:c r="U1381" s="143" t="str"/>
      <x:c r="V1381" s="559" t="str"/>
      <x:c r="W1381" s="143" t="str"/>
    </x:row>
    <x:row r="1382" ht="79.19999694824219" hidden="0" customHeight="1">
      <x:c r="A1382" s="143" t="str">
        <x:v>ST-1406</x:v>
      </x:c>
      <x:c r="B1382" s="143" t="str">
        <x:v>Course</x:v>
      </x:c>
      <x:c r="C1382" s="143" t="str">
        <x:v>Robotics</x:v>
      </x:c>
      <x:c r="D1382" s="143" t="str">
        <x:v>Robotics / Paper Walkthroughs</x:v>
      </x:c>
      <x:c r="E1382" s="143" t="str">
        <x:v>Robotics; Paper Walkthroughs</x:v>
      </x:c>
      <x:c r="F1382" s="143" t="str">
        <x:v>Chinese</x:v>
      </x:c>
      <x:c r="G1382" s="143" t="str">
        <x:v>Pi0: A Vision-Language-Action Flow Model for General Robot Control</x:v>
      </x:c>
      <x:c r="H1382" s="143" t="str">
        <x:v>Community presenter (not the paper authors)</x:v>
      </x:c>
      <x:c r="I1382" s="143" t="str">
        <x:v>Yanhua Liuxu Weimeng</x:v>
      </x:c>
      <x:c r="J1382" s="143" t="str">
        <x:v>Community Paper Tutorial</x:v>
      </x:c>
      <x:c r="K1382" s="556" t="n">
        <x:v>50</x:v>
      </x:c>
      <x:c r="L1382" s="143" t="str">
        <x:v>https://www.bilibili.com/video/BV12Wh965EUk/</x:v>
      </x:c>
      <x:c r="M1382" s="143" t="str">
        <x:v>Bilibili</x:v>
      </x:c>
      <x:c r="N1382" s="557" t="n">
        <x:v>22</x:v>
      </x:c>
      <x:c r="O1382" s="143" t="str">
        <x:v>B | Independent Technical Creator</x:v>
      </x:c>
      <x:c r="P1382" s="143" t="str">
        <x:v>Recommended</x:v>
      </x:c>
      <x:c r="Q1382" s="143" t="str">
        <x:v>Pending Verification</x:v>
      </x:c>
      <x:c r="R1382" s="558" t="n">
        <x:v>46291</x:v>
      </x:c>
      <x:c r="S1382" s="143" t="str">
        <x:v>Community close reading of the pi0 paper. This is a new tutorial upload, not a new release or an author presentation. Bilibili search API confirms the upload metadata; watch-page access and playback remain unverified. Duration is the upload total and may include alternative-format parts.</x:v>
      </x:c>
      <x:c r="T1382" s="143" t="str">
        <x:v>BV12Wh965EUk</x:v>
      </x:c>
      <x:c r="U1382" s="143" t="str"/>
      <x:c r="V1382" s="559" t="str"/>
      <x:c r="W1382" s="143" t="str"/>
    </x:row>
    <x:row r="1383" ht="66" hidden="0" customHeight="1">
      <x:c r="A1383" s="143" t="str">
        <x:v>ST-1407</x:v>
      </x:c>
      <x:c r="B1383" s="143" t="str">
        <x:v>Course</x:v>
      </x:c>
      <x:c r="C1383" s="143" t="str">
        <x:v>Robotics</x:v>
      </x:c>
      <x:c r="D1383" s="143" t="str">
        <x:v>Robotics / Paper Walkthroughs</x:v>
      </x:c>
      <x:c r="E1383" s="143" t="str">
        <x:v>Robotics; Paper Walkthroughs</x:v>
      </x:c>
      <x:c r="F1383" s="143" t="str">
        <x:v>Chinese</x:v>
      </x:c>
      <x:c r="G1383" s="143" t="str">
        <x:v>Pi0.5: A Vision-Language-Action Model with Open-World Generalization</x:v>
      </x:c>
      <x:c r="H1383" s="143" t="str">
        <x:v>Community presenter (not the paper authors)</x:v>
      </x:c>
      <x:c r="I1383" s="143" t="str">
        <x:v>Yanhua Liuxu Weimeng</x:v>
      </x:c>
      <x:c r="J1383" s="143" t="str">
        <x:v>Community Paper Tutorial</x:v>
      </x:c>
      <x:c r="K1383" s="556" t="n">
        <x:v>39</x:v>
      </x:c>
      <x:c r="L1383" s="143" t="str">
        <x:v>https://www.bilibili.com/video/BV1PShX6BEAj/</x:v>
      </x:c>
      <x:c r="M1383" s="143" t="str">
        <x:v>Bilibili</x:v>
      </x:c>
      <x:c r="N1383" s="557" t="n">
        <x:v>32</x:v>
      </x:c>
      <x:c r="O1383" s="143" t="str">
        <x:v>B | Independent Technical Creator</x:v>
      </x:c>
      <x:c r="P1383" s="143" t="str">
        <x:v>Recommended</x:v>
      </x:c>
      <x:c r="Q1383" s="143" t="str">
        <x:v>Pending Verification</x:v>
      </x:c>
      <x:c r="R1383" s="558" t="n">
        <x:v>46291</x:v>
      </x:c>
      <x:c r="S1383" s="143" t="str">
        <x:v>Community close reading of the pi0.5 paper. Upload date does not indicate the original paper date. Bilibili search API confirms the upload metadata; watch-page access and playback remain unverified. Duration is the upload total and may include alternative-format parts.</x:v>
      </x:c>
      <x:c r="T1383" s="143" t="str">
        <x:v>BV1PShX6BEAj</x:v>
      </x:c>
      <x:c r="U1383" s="143" t="str"/>
      <x:c r="V1383" s="559" t="str"/>
      <x:c r="W1383" s="143" t="str"/>
    </x:row>
    <x:row r="1384" ht="52.79999923706055" hidden="0" customHeight="1">
      <x:c r="A1384" s="143" t="str">
        <x:v>ST-1408</x:v>
      </x:c>
      <x:c r="B1384" s="143" t="str">
        <x:v>Course</x:v>
      </x:c>
      <x:c r="C1384" s="143" t="str">
        <x:v>Robotics</x:v>
      </x:c>
      <x:c r="D1384" s="143" t="str">
        <x:v>Robotics / Paper Walkthroughs</x:v>
      </x:c>
      <x:c r="E1384" s="143" t="str">
        <x:v>Robotics; Paper Walkthroughs</x:v>
      </x:c>
      <x:c r="F1384" s="143" t="str">
        <x:v>Chinese</x:v>
      </x:c>
      <x:c r="G1384" s="143" t="str">
        <x:v>Learning Multi-Arm Manipulation through Collaborative Teleoperation: Part 1</x:v>
      </x:c>
      <x:c r="H1384" s="143" t="str">
        <x:v>Community presenter (not the paper authors)</x:v>
      </x:c>
      <x:c r="I1384" s="143" t="str">
        <x:v>Yanhua Liuxu Weimeng</x:v>
      </x:c>
      <x:c r="J1384" s="143" t="str">
        <x:v>Community Paper Tutorial</x:v>
      </x:c>
      <x:c r="K1384" s="556" t="n">
        <x:v>30</x:v>
      </x:c>
      <x:c r="L1384" s="143" t="str">
        <x:v>https://www.bilibili.com/video/BV1jShd6KEeB/</x:v>
      </x:c>
      <x:c r="M1384" s="143" t="str">
        <x:v>Bilibili</x:v>
      </x:c>
      <x:c r="N1384" s="557" t="n">
        <x:v>17</x:v>
      </x:c>
      <x:c r="O1384" s="143" t="str">
        <x:v>B | Independent Technical Creator</x:v>
      </x:c>
      <x:c r="P1384" s="143" t="str">
        <x:v>Recommended</x:v>
      </x:c>
      <x:c r="Q1384" s="143" t="str">
        <x:v>Pending Verification</x:v>
      </x:c>
      <x:c r="R1384" s="558" t="n">
        <x:v>46291</x:v>
      </x:c>
      <x:c r="S1384" s="143" t="str">
        <x:v>Community paper reading, not a Fei-Fei Li talk. Bilibili search API confirms the upload metadata; watch-page access and playback remain unverified. Duration is the upload total and may include alternative-format parts.</x:v>
      </x:c>
      <x:c r="T1384" s="143" t="str">
        <x:v>BV1jShd6KEeB</x:v>
      </x:c>
      <x:c r="U1384" s="143" t="str">
        <x:v>Learning Multi-Arm Manipulation: Paper Reading</x:v>
      </x:c>
      <x:c r="V1384" s="559" t="n">
        <x:v>1</x:v>
      </x:c>
      <x:c r="W1384" s="143" t="str">
        <x:v>collaborative-teleoperation-paper-reading</x:v>
      </x:c>
    </x:row>
    <x:row r="1385" ht="66" hidden="0" customHeight="1">
      <x:c r="A1385" s="143" t="str">
        <x:v>ST-1409</x:v>
      </x:c>
      <x:c r="B1385" s="143" t="str">
        <x:v>Course</x:v>
      </x:c>
      <x:c r="C1385" s="143" t="str">
        <x:v>Robotics</x:v>
      </x:c>
      <x:c r="D1385" s="143" t="str">
        <x:v>Robotics / Paper Walkthroughs</x:v>
      </x:c>
      <x:c r="E1385" s="143" t="str">
        <x:v>Robotics; Paper Walkthroughs</x:v>
      </x:c>
      <x:c r="F1385" s="143" t="str">
        <x:v>Chinese</x:v>
      </x:c>
      <x:c r="G1385" s="143" t="str">
        <x:v>Learning Multi-Arm Manipulation through Collaborative Teleoperation: Part 2</x:v>
      </x:c>
      <x:c r="H1385" s="143" t="str">
        <x:v>Community presenter (not the paper authors)</x:v>
      </x:c>
      <x:c r="I1385" s="143" t="str">
        <x:v>Yanhua Liuxu Weimeng</x:v>
      </x:c>
      <x:c r="J1385" s="143" t="str">
        <x:v>Community Paper Tutorial</x:v>
      </x:c>
      <x:c r="K1385" s="556" t="n">
        <x:v>10</x:v>
      </x:c>
      <x:c r="L1385" s="143" t="str">
        <x:v>https://www.bilibili.com/video/BV1qShd6NEA3/</x:v>
      </x:c>
      <x:c r="M1385" s="143" t="str">
        <x:v>Bilibili</x:v>
      </x:c>
      <x:c r="N1385" s="557" t="n">
        <x:v>6</x:v>
      </x:c>
      <x:c r="O1385" s="143" t="str">
        <x:v>B | Independent Technical Creator</x:v>
      </x:c>
      <x:c r="P1385" s="143" t="str">
        <x:v>Recommended</x:v>
      </x:c>
      <x:c r="Q1385" s="143" t="str">
        <x:v>Pending Verification</x:v>
      </x:c>
      <x:c r="R1385" s="558" t="n">
        <x:v>46291</x:v>
      </x:c>
      <x:c r="S1385" s="143" t="str">
        <x:v>Second part of the same community paper reading, grouped with Part 1. Bilibili search API confirms the upload metadata; watch-page access and playback remain unverified. Duration is the upload total and may include alternative-format parts.</x:v>
      </x:c>
      <x:c r="T1385" s="143" t="str">
        <x:v>BV1qShd6NEA3</x:v>
      </x:c>
      <x:c r="U1385" s="143" t="str">
        <x:v>Learning Multi-Arm Manipulation: Paper Reading</x:v>
      </x:c>
      <x:c r="V1385" s="559" t="n">
        <x:v>2</x:v>
      </x:c>
      <x:c r="W1385" s="143" t="str">
        <x:v>collaborative-teleoperation-paper-reading</x:v>
      </x:c>
    </x:row>
    <x:row r="1386" ht="79.19999694824219" hidden="0" customHeight="1">
      <x:c r="A1386" s="143" t="str">
        <x:v>ST-1410</x:v>
      </x:c>
      <x:c r="B1386" s="143" t="str">
        <x:v>Talk</x:v>
      </x:c>
      <x:c r="C1386" s="143" t="str">
        <x:v>Vision</x:v>
      </x:c>
      <x:c r="D1386" s="143" t="str">
        <x:v>Vision / Scene Flow</x:v>
      </x:c>
      <x:c r="E1386" s="143" t="str">
        <x:v>Vision; Scene Flow</x:v>
      </x:c>
      <x:c r="F1386" s="143" t="str">
        <x:v>Chinese</x:v>
      </x:c>
      <x:c r="G1386" s="143" t="str">
        <x:v>SynFlow: Scaling Up LiDAR Scene Flow Estimation</x:v>
      </x:c>
      <x:c r="H1386" s="143" t="str">
        <x:v>SynFlow project team (Here_Kin)</x:v>
      </x:c>
      <x:c r="I1386" s="143" t="str">
        <x:v>Here_Kin</x:v>
      </x:c>
      <x:c r="J1386" s="143" t="str">
        <x:v>Research Presentation</x:v>
      </x:c>
      <x:c r="K1386" s="556" t="n">
        <x:v>5</x:v>
      </x:c>
      <x:c r="L1386" s="143" t="str">
        <x:v>https://www.bilibili.com/video/BV1VLhd6bEud/</x:v>
      </x:c>
      <x:c r="M1386" s="143" t="str">
        <x:v>Bilibili</x:v>
      </x:c>
      <x:c r="N1386" s="557" t="n">
        <x:v>161</x:v>
      </x:c>
      <x:c r="O1386" s="143" t="str">
        <x:v>A | Official / Original Creator / Organizer</x:v>
      </x:c>
      <x:c r="P1386" s="143" t="str">
        <x:v>Recommended</x:v>
      </x:c>
      <x:c r="Q1386" s="143" t="str">
        <x:v>Pending Verification</x:v>
      </x:c>
      <x:c r="R1386" s="558" t="n">
        <x:v>46291</x:v>
      </x:c>
      <x:c r="S1386" s="143" t="str">
        <x:v>Research presentation linked by the uploader to the SynFlow project and OpenSceneFlow benchmark. Bilibili search API confirms the upload metadata; watch-page access and playback remain unverified. Duration is the upload total and may include alternative-format parts.</x:v>
      </x:c>
      <x:c r="T1386" s="143" t="str">
        <x:v>BV1VLhd6bEud</x:v>
      </x:c>
      <x:c r="U1386" s="143" t="str"/>
      <x:c r="V1386" s="559" t="str"/>
      <x:c r="W1386" s="143" t="str"/>
    </x:row>
    <x:row r="1387" ht="66" hidden="0" customHeight="1">
      <x:c r="A1387" s="143" t="str">
        <x:v>ST-1411</x:v>
      </x:c>
      <x:c r="B1387" s="143" t="str">
        <x:v>Course</x:v>
      </x:c>
      <x:c r="C1387" s="143" t="str">
        <x:v>World Model</x:v>
      </x:c>
      <x:c r="D1387" s="143" t="str">
        <x:v>World Model / Paper Walkthroughs</x:v>
      </x:c>
      <x:c r="E1387" s="143" t="str">
        <x:v>World Model; Paper Walkthroughs</x:v>
      </x:c>
      <x:c r="F1387" s="143" t="str">
        <x:v>Chinese</x:v>
      </x:c>
      <x:c r="G1387" s="143" t="str">
        <x:v>Phi-RIE: From Photorealistic Reconstruction to Interactive Environments</x:v>
      </x:c>
      <x:c r="H1387" s="143" t="str">
        <x:v>Community presenter (not the paper authors)</x:v>
      </x:c>
      <x:c r="I1387" s="143" t="str">
        <x:v>HyperHorizon</x:v>
      </x:c>
      <x:c r="J1387" s="143" t="str">
        <x:v>Community Paper Tutorial</x:v>
      </x:c>
      <x:c r="K1387" s="556" t="n">
        <x:v>17</x:v>
      </x:c>
      <x:c r="L1387" s="143" t="str">
        <x:v>https://www.bilibili.com/video/BV1odh26uEJq/</x:v>
      </x:c>
      <x:c r="M1387" s="143" t="str">
        <x:v>Bilibili</x:v>
      </x:c>
      <x:c r="N1387" s="557" t="n">
        <x:v>64</x:v>
      </x:c>
      <x:c r="O1387" s="143" t="str">
        <x:v>B | Independent Technical Creator</x:v>
      </x:c>
      <x:c r="P1387" s="143" t="str">
        <x:v>Recommended</x:v>
      </x:c>
      <x:c r="Q1387" s="143" t="str">
        <x:v>Pending Verification</x:v>
      </x:c>
      <x:c r="R1387" s="558" t="n">
        <x:v>46291</x:v>
      </x:c>
      <x:c r="S1387" s="143" t="str">
        <x:v>Community walkthrough of converting captured Gaussian scenes into interactive environments. Bilibili search API confirms the upload metadata; watch-page access and playback remain unverified. Duration is the upload total and may include alternative-format parts.</x:v>
      </x:c>
      <x:c r="T1387" s="143" t="str">
        <x:v>BV1odh26uEJq</x:v>
      </x:c>
      <x:c r="U1387" s="143" t="str"/>
      <x:c r="V1387" s="559" t="str"/>
      <x:c r="W1387" s="143" t="str"/>
    </x:row>
    <x:row r="1388" ht="66" hidden="0" customHeight="1">
      <x:c r="A1388" s="143" t="str">
        <x:v>ST-1412</x:v>
      </x:c>
      <x:c r="B1388" s="143" t="str">
        <x:v>Course</x:v>
      </x:c>
      <x:c r="C1388" s="143" t="str">
        <x:v>Vision</x:v>
      </x:c>
      <x:c r="D1388" s="143" t="str">
        <x:v>Vision / Paper Walkthroughs</x:v>
      </x:c>
      <x:c r="E1388" s="143" t="str">
        <x:v>Vision; Paper Walkthroughs</x:v>
      </x:c>
      <x:c r="F1388" s="143" t="str">
        <x:v>Chinese</x:v>
      </x:c>
      <x:c r="G1388" s="143" t="str">
        <x:v>VDGS: Visibility-Driven Large-Scale Gaussian Splatting for Aerial Scenes</x:v>
      </x:c>
      <x:c r="H1388" s="143" t="str">
        <x:v>Community presenter (not the paper authors)</x:v>
      </x:c>
      <x:c r="I1388" s="143" t="str">
        <x:v>HyperHorizon</x:v>
      </x:c>
      <x:c r="J1388" s="143" t="str">
        <x:v>Community Paper Tutorial</x:v>
      </x:c>
      <x:c r="K1388" s="556" t="n">
        <x:v>14</x:v>
      </x:c>
      <x:c r="L1388" s="143" t="str">
        <x:v>https://www.bilibili.com/video/BV1xXhC6yEFH/</x:v>
      </x:c>
      <x:c r="M1388" s="143" t="str">
        <x:v>Bilibili</x:v>
      </x:c>
      <x:c r="N1388" s="557" t="n">
        <x:v>197</x:v>
      </x:c>
      <x:c r="O1388" s="143" t="str">
        <x:v>B | Independent Technical Creator</x:v>
      </x:c>
      <x:c r="P1388" s="143" t="str">
        <x:v>Recommended</x:v>
      </x:c>
      <x:c r="Q1388" s="143" t="str">
        <x:v>Pending Verification</x:v>
      </x:c>
      <x:c r="R1388" s="558" t="n">
        <x:v>46291</x:v>
      </x:c>
      <x:c r="S1388" s="143" t="str">
        <x:v>Community walkthrough of visibility-guided scene partitioning and reconstruction. Bilibili search API confirms the upload metadata; watch-page access and playback remain unverified. Duration is the upload total and may include alternative-format parts.</x:v>
      </x:c>
      <x:c r="T1388" s="143" t="str">
        <x:v>BV1xXhC6yEFH</x:v>
      </x:c>
      <x:c r="U1388" s="143" t="str"/>
      <x:c r="V1388" s="559" t="str"/>
      <x:c r="W1388" s="143" t="str"/>
    </x:row>
    <x:row r="1389" ht="79.19999694824219" hidden="0" customHeight="1">
      <x:c r="A1389" s="143" t="str">
        <x:v>ST-1413</x:v>
      </x:c>
      <x:c r="B1389" s="143" t="str">
        <x:v>Course</x:v>
      </x:c>
      <x:c r="C1389" s="143" t="str">
        <x:v>Vision</x:v>
      </x:c>
      <x:c r="D1389" s="143" t="str">
        <x:v>Vision / Paper Walkthroughs</x:v>
      </x:c>
      <x:c r="E1389" s="143" t="str">
        <x:v>Vision; Paper Walkthroughs</x:v>
      </x:c>
      <x:c r="F1389" s="143" t="str">
        <x:v>Chinese</x:v>
      </x:c>
      <x:c r="G1389" s="143" t="str">
        <x:v>GrapeSplat: Geometry-Grounded Reconstruction with Pose-Free Encoding</x:v>
      </x:c>
      <x:c r="H1389" s="143" t="str">
        <x:v>Community presenter (not the paper authors)</x:v>
      </x:c>
      <x:c r="I1389" s="143" t="str">
        <x:v>HyperHorizon</x:v>
      </x:c>
      <x:c r="J1389" s="143" t="str">
        <x:v>Community Paper Tutorial</x:v>
      </x:c>
      <x:c r="K1389" s="556" t="n">
        <x:v>15</x:v>
      </x:c>
      <x:c r="L1389" s="143" t="str">
        <x:v>https://www.bilibili.com/video/BV1CZhC63Eny/</x:v>
      </x:c>
      <x:c r="M1389" s="143" t="str">
        <x:v>Bilibili</x:v>
      </x:c>
      <x:c r="N1389" s="557" t="n">
        <x:v>53</x:v>
      </x:c>
      <x:c r="O1389" s="143" t="str">
        <x:v>B | Independent Technical Creator</x:v>
      </x:c>
      <x:c r="P1389" s="143" t="str">
        <x:v>Recommended</x:v>
      </x:c>
      <x:c r="Q1389" s="143" t="str">
        <x:v>Pending Verification</x:v>
      </x:c>
      <x:c r="R1389" s="558" t="n">
        <x:v>46291</x:v>
      </x:c>
      <x:c r="S1389" s="143" t="str">
        <x:v>Community walkthrough of feed-forward 3D Gaussian reconstruction from multi-view geometric features. Bilibili search API confirms the upload metadata; watch-page access and playback remain unverified. Duration is the upload total and may include alternative-format parts.</x:v>
      </x:c>
      <x:c r="T1389" s="143" t="str">
        <x:v>BV1CZhC63Eny</x:v>
      </x:c>
      <x:c r="U1389" s="143" t="str"/>
      <x:c r="V1389" s="559" t="str"/>
      <x:c r="W1389" s="143" t="str"/>
    </x:row>
    <x:row r="1390" ht="79.19999694824219" hidden="0" customHeight="1">
      <x:c r="A1390" s="143" t="str">
        <x:v>ST-1414</x:v>
      </x:c>
      <x:c r="B1390" s="143" t="str">
        <x:v>Course</x:v>
      </x:c>
      <x:c r="C1390" s="143" t="str">
        <x:v>Vision</x:v>
      </x:c>
      <x:c r="D1390" s="143" t="str">
        <x:v>Vision / Paper Walkthroughs</x:v>
      </x:c>
      <x:c r="E1390" s="143" t="str">
        <x:v>Vision; Paper Walkthroughs</x:v>
      </x:c>
      <x:c r="F1390" s="143" t="str">
        <x:v>Chinese</x:v>
      </x:c>
      <x:c r="G1390" s="143" t="str">
        <x:v>SplatLabel: Pseudo-Labelling through 4D Gaussian Splatting</x:v>
      </x:c>
      <x:c r="H1390" s="143" t="str">
        <x:v>Community presenter (not the paper authors)</x:v>
      </x:c>
      <x:c r="I1390" s="143" t="str">
        <x:v>HyperHorizon</x:v>
      </x:c>
      <x:c r="J1390" s="143" t="str">
        <x:v>Community Paper Tutorial</x:v>
      </x:c>
      <x:c r="K1390" s="556" t="n">
        <x:v>14</x:v>
      </x:c>
      <x:c r="L1390" s="143" t="str">
        <x:v>https://www.bilibili.com/video/BV1G7hy6bELh/</x:v>
      </x:c>
      <x:c r="M1390" s="143" t="str">
        <x:v>Bilibili</x:v>
      </x:c>
      <x:c r="N1390" s="557" t="n">
        <x:v>182</x:v>
      </x:c>
      <x:c r="O1390" s="143" t="str">
        <x:v>B | Independent Technical Creator</x:v>
      </x:c>
      <x:c r="P1390" s="143" t="str">
        <x:v>Recommended</x:v>
      </x:c>
      <x:c r="Q1390" s="143" t="str">
        <x:v>Pending Verification</x:v>
      </x:c>
      <x:c r="R1390" s="558" t="n">
        <x:v>46291</x:v>
      </x:c>
      <x:c r="S1390" s="143" t="str">
        <x:v>Community explanation of 4D Gaussian representations for semantic pseudo-label generation. Bilibili search API confirms the upload metadata; watch-page access and playback remain unverified. Duration is the upload total and may include alternative-format parts.</x:v>
      </x:c>
      <x:c r="T1390" s="143" t="str">
        <x:v>BV1G7hy6bELh</x:v>
      </x:c>
      <x:c r="U1390" s="143" t="str"/>
      <x:c r="V1390" s="559" t="str"/>
      <x:c r="W1390" s="143" t="str"/>
    </x:row>
    <x:row r="1391" ht="66" hidden="0" customHeight="1">
      <x:c r="A1391" s="143" t="str">
        <x:v>ST-1415</x:v>
      </x:c>
      <x:c r="B1391" s="143" t="str">
        <x:v>Course</x:v>
      </x:c>
      <x:c r="C1391" s="143" t="str">
        <x:v>Vision</x:v>
      </x:c>
      <x:c r="D1391" s="143" t="str">
        <x:v>Vision / Paper Walkthroughs</x:v>
      </x:c>
      <x:c r="E1391" s="143" t="str">
        <x:v>Vision; Paper Walkthroughs</x:v>
      </x:c>
      <x:c r="F1391" s="143" t="str">
        <x:v>Chinese</x:v>
      </x:c>
      <x:c r="G1391" s="143" t="str">
        <x:v>ParticleSplat: Self-Supervised Object-Centric Latent Particle Splatting</x:v>
      </x:c>
      <x:c r="H1391" s="143" t="str">
        <x:v>Community presenter (not the paper authors)</x:v>
      </x:c>
      <x:c r="I1391" s="143" t="str">
        <x:v>HyperHorizon</x:v>
      </x:c>
      <x:c r="J1391" s="143" t="str">
        <x:v>Community Paper Tutorial</x:v>
      </x:c>
      <x:c r="K1391" s="556" t="n">
        <x:v>15</x:v>
      </x:c>
      <x:c r="L1391" s="143" t="str">
        <x:v>https://www.bilibili.com/video/BV1MAet6yEE5/</x:v>
      </x:c>
      <x:c r="M1391" s="143" t="str">
        <x:v>Bilibili</x:v>
      </x:c>
      <x:c r="N1391" s="557" t="n">
        <x:v>266</x:v>
      </x:c>
      <x:c r="O1391" s="143" t="str">
        <x:v>B | Independent Technical Creator</x:v>
      </x:c>
      <x:c r="P1391" s="143" t="str">
        <x:v>Recommended</x:v>
      </x:c>
      <x:c r="Q1391" s="143" t="str">
        <x:v>Pending Verification</x:v>
      </x:c>
      <x:c r="R1391" s="558" t="n">
        <x:v>46291</x:v>
      </x:c>
      <x:c r="S1391" s="143" t="str">
        <x:v>Community walkthrough of object-centric particles for novel-view synthesis and scene editing. Bilibili search API confirms the upload metadata; watch-page access and playback remain unverified. Duration is the upload total and may include alternative-format parts.</x:v>
      </x:c>
      <x:c r="T1391" s="143" t="str">
        <x:v>BV1MAet6yEE5</x:v>
      </x:c>
      <x:c r="U1391" s="143" t="str"/>
      <x:c r="V1391" s="559" t="str"/>
      <x:c r="W1391" s="143" t="str"/>
    </x:row>
    <x:row r="1392" ht="79.19999694824219" hidden="0" customHeight="1">
      <x:c r="A1392" s="143" t="str">
        <x:v>ST-1416</x:v>
      </x:c>
      <x:c r="B1392" s="143" t="str">
        <x:v>Course</x:v>
      </x:c>
      <x:c r="C1392" s="143" t="str">
        <x:v>Vision</x:v>
      </x:c>
      <x:c r="D1392" s="143" t="str">
        <x:v>Vision / Paper Walkthroughs</x:v>
      </x:c>
      <x:c r="E1392" s="143" t="str">
        <x:v>Vision; Paper Walkthroughs</x:v>
      </x:c>
      <x:c r="F1392" s="143" t="str">
        <x:v>Chinese</x:v>
      </x:c>
      <x:c r="G1392" s="143" t="str">
        <x:v>Bi-FlowGS: Generative View Completion and Gaussian Geometry</x:v>
      </x:c>
      <x:c r="H1392" s="143" t="str">
        <x:v>Community presenter (not the paper authors)</x:v>
      </x:c>
      <x:c r="I1392" s="143" t="str">
        <x:v>HyperHorizon</x:v>
      </x:c>
      <x:c r="J1392" s="143" t="str">
        <x:v>Community Paper Tutorial</x:v>
      </x:c>
      <x:c r="K1392" s="556" t="n">
        <x:v>15</x:v>
      </x:c>
      <x:c r="L1392" s="143" t="str">
        <x:v>https://www.bilibili.com/video/BV1ckeM6jEDJ/</x:v>
      </x:c>
      <x:c r="M1392" s="143" t="str">
        <x:v>Bilibili</x:v>
      </x:c>
      <x:c r="N1392" s="557" t="n">
        <x:v>312</x:v>
      </x:c>
      <x:c r="O1392" s="143" t="str">
        <x:v>B | Independent Technical Creator</x:v>
      </x:c>
      <x:c r="P1392" s="143" t="str">
        <x:v>Recommended</x:v>
      </x:c>
      <x:c r="Q1392" s="143" t="str">
        <x:v>Pending Verification</x:v>
      </x:c>
      <x:c r="R1392" s="558" t="n">
        <x:v>46291</x:v>
      </x:c>
      <x:c r="S1392" s="143" t="str">
        <x:v>Community walkthrough of bidirectional flow co-refinement for view completion and Gaussian reconstruction. Bilibili search API confirms the upload metadata; watch-page access and playback remain unverified. Duration is the upload total and may include alternative-format parts.</x:v>
      </x:c>
      <x:c r="T1392" s="143" t="str">
        <x:v>BV1ckeM6jEDJ</x:v>
      </x:c>
      <x:c r="U1392" s="143" t="str"/>
      <x:c r="V1392" s="559" t="str"/>
      <x:c r="W1392" s="143" t="str"/>
    </x:row>
    <x:row r="1393" ht="66" hidden="0" customHeight="1">
      <x:c r="A1393" s="143" t="str">
        <x:v>ST-1417</x:v>
      </x:c>
      <x:c r="B1393" s="143" t="str">
        <x:v>Course</x:v>
      </x:c>
      <x:c r="C1393" s="143" t="str">
        <x:v>Vision</x:v>
      </x:c>
      <x:c r="D1393" s="143" t="str">
        <x:v>Vision / Paper Walkthroughs</x:v>
      </x:c>
      <x:c r="E1393" s="143" t="str">
        <x:v>Vision; Paper Walkthroughs</x:v>
      </x:c>
      <x:c r="F1393" s="143" t="str">
        <x:v>Chinese</x:v>
      </x:c>
      <x:c r="G1393" s="143" t="str">
        <x:v>Daily SLAM 03: PanoGS-SLAM for Panoramic Gaussian Mapping</x:v>
      </x:c>
      <x:c r="H1393" s="143" t="str">
        <x:v>Community presenter (not the paper authors)</x:v>
      </x:c>
      <x:c r="I1393" s="143" t="str">
        <x:v>Quming Shijing Wang Lisao</x:v>
      </x:c>
      <x:c r="J1393" s="143" t="str">
        <x:v>Community Paper Tutorial</x:v>
      </x:c>
      <x:c r="K1393" s="556" t="n">
        <x:v>4</x:v>
      </x:c>
      <x:c r="L1393" s="143" t="str">
        <x:v>https://www.bilibili.com/video/BV1zDey61EQm/</x:v>
      </x:c>
      <x:c r="M1393" s="143" t="str">
        <x:v>Bilibili</x:v>
      </x:c>
      <x:c r="N1393" s="557" t="n">
        <x:v>504</x:v>
      </x:c>
      <x:c r="O1393" s="143" t="str">
        <x:v>B | Independent Technical Creator</x:v>
      </x:c>
      <x:c r="P1393" s="143" t="str">
        <x:v>Recommended</x:v>
      </x:c>
      <x:c r="Q1393" s="143" t="str">
        <x:v>Pending Verification</x:v>
      </x:c>
      <x:c r="R1393" s="558" t="n">
        <x:v>46291</x:v>
      </x:c>
      <x:c r="S1393" s="143" t="str">
        <x:v>Episode 3 of the uploader-labelled Daily SLAM paper-explainer series. Bilibili search API confirms the upload metadata; watch-page access and playback remain unverified. Duration is the upload total and may include alternative-format parts.</x:v>
      </x:c>
      <x:c r="T1393" s="143" t="str">
        <x:v>BV1zDey61EQm</x:v>
      </x:c>
      <x:c r="U1393" s="143" t="str">
        <x:v>Daily SLAM Paper Explainers</x:v>
      </x:c>
      <x:c r="V1393" s="559" t="n">
        <x:v>3</x:v>
      </x:c>
      <x:c r="W1393" s="143" t="str">
        <x:v>daily-slam-paper-explainers</x:v>
      </x:c>
    </x:row>
    <x:row r="1394" ht="66" hidden="0" customHeight="1">
      <x:c r="A1394" s="143" t="str">
        <x:v>ST-1418</x:v>
      </x:c>
      <x:c r="B1394" s="143" t="str">
        <x:v>Course</x:v>
      </x:c>
      <x:c r="C1394" s="143" t="str">
        <x:v>Vision</x:v>
      </x:c>
      <x:c r="D1394" s="143" t="str">
        <x:v>Vision / Paper Walkthroughs</x:v>
      </x:c>
      <x:c r="E1394" s="143" t="str">
        <x:v>Vision; Paper Walkthroughs</x:v>
      </x:c>
      <x:c r="F1394" s="143" t="str">
        <x:v>Chinese</x:v>
      </x:c>
      <x:c r="G1394" s="143" t="str">
        <x:v>Daily SLAM 09: GaussianFlow-Guided Monocular Gaussian SLAM</x:v>
      </x:c>
      <x:c r="H1394" s="143" t="str">
        <x:v>Community presenter (not the paper authors)</x:v>
      </x:c>
      <x:c r="I1394" s="143" t="str">
        <x:v>Quming Shijing Wang Lisao</x:v>
      </x:c>
      <x:c r="J1394" s="143" t="str">
        <x:v>Community Paper Tutorial</x:v>
      </x:c>
      <x:c r="K1394" s="556" t="n">
        <x:v>3</x:v>
      </x:c>
      <x:c r="L1394" s="143" t="str">
        <x:v>https://www.bilibili.com/video/BV1Vyhf6KEiY/</x:v>
      </x:c>
      <x:c r="M1394" s="143" t="str">
        <x:v>Bilibili</x:v>
      </x:c>
      <x:c r="N1394" s="557" t="n">
        <x:v>201</x:v>
      </x:c>
      <x:c r="O1394" s="143" t="str">
        <x:v>B | Independent Technical Creator</x:v>
      </x:c>
      <x:c r="P1394" s="143" t="str">
        <x:v>Recommended</x:v>
      </x:c>
      <x:c r="Q1394" s="143" t="str">
        <x:v>Pending Verification</x:v>
      </x:c>
      <x:c r="R1394" s="558" t="n">
        <x:v>46291</x:v>
      </x:c>
      <x:c r="S1394" s="143" t="str">
        <x:v>Episode 9 of Daily SLAM. This tutorial upload is newer than the underlying paper. Bilibili search API confirms the upload metadata; watch-page access and playback remain unverified. Duration is the upload total and may include alternative-format parts.</x:v>
      </x:c>
      <x:c r="T1394" s="143" t="str">
        <x:v>BV1Vyhf6KEiY</x:v>
      </x:c>
      <x:c r="U1394" s="143" t="str">
        <x:v>Daily SLAM Paper Explainers</x:v>
      </x:c>
      <x:c r="V1394" s="559" t="n">
        <x:v>9</x:v>
      </x:c>
      <x:c r="W1394" s="143" t="str">
        <x:v>daily-slam-paper-explainers</x:v>
      </x:c>
    </x:row>
    <x:row r="1395" ht="66" hidden="0" customHeight="1">
      <x:c r="A1395" s="143" t="str">
        <x:v>ST-1419</x:v>
      </x:c>
      <x:c r="B1395" s="143" t="str">
        <x:v>Course</x:v>
      </x:c>
      <x:c r="C1395" s="143" t="str">
        <x:v>Vision</x:v>
      </x:c>
      <x:c r="D1395" s="143" t="str">
        <x:v>Vision / Paper Walkthroughs</x:v>
      </x:c>
      <x:c r="E1395" s="143" t="str">
        <x:v>Vision; Paper Walkthroughs</x:v>
      </x:c>
      <x:c r="F1395" s="143" t="str">
        <x:v>Chinese</x:v>
      </x:c>
      <x:c r="G1395" s="143" t="str">
        <x:v>Daily SLAM 11: RawSLAM and Online HDR Gaussian Mapping</x:v>
      </x:c>
      <x:c r="H1395" s="143" t="str">
        <x:v>Community presenter (not the paper authors)</x:v>
      </x:c>
      <x:c r="I1395" s="143" t="str">
        <x:v>Quming Shijing Wang Lisao</x:v>
      </x:c>
      <x:c r="J1395" s="143" t="str">
        <x:v>Community Paper Tutorial</x:v>
      </x:c>
      <x:c r="K1395" s="556" t="n">
        <x:v>4</x:v>
      </x:c>
      <x:c r="L1395" s="143" t="str">
        <x:v>https://www.bilibili.com/video/BV1tgho6DEPu/</x:v>
      </x:c>
      <x:c r="M1395" s="143" t="str">
        <x:v>Bilibili</x:v>
      </x:c>
      <x:c r="N1395" s="557" t="n">
        <x:v>35</x:v>
      </x:c>
      <x:c r="O1395" s="143" t="str">
        <x:v>B | Independent Technical Creator</x:v>
      </x:c>
      <x:c r="P1395" s="143" t="str">
        <x:v>Recommended</x:v>
      </x:c>
      <x:c r="Q1395" s="143" t="str">
        <x:v>Pending Verification</x:v>
      </x:c>
      <x:c r="R1395" s="558" t="n">
        <x:v>46291</x:v>
      </x:c>
      <x:c r="S1395" s="143" t="str">
        <x:v>Episode 11 of Daily SLAM, discussing Gaussian mapping from linear RAW radiance. Bilibili search API confirms the upload metadata; watch-page access and playback remain unverified. Duration is the upload total and may include alternative-format parts.</x:v>
      </x:c>
      <x:c r="T1395" s="143" t="str">
        <x:v>BV1tgho6DEPu</x:v>
      </x:c>
      <x:c r="U1395" s="143" t="str">
        <x:v>Daily SLAM Paper Explainers</x:v>
      </x:c>
      <x:c r="V1395" s="559" t="n">
        <x:v>11</x:v>
      </x:c>
      <x:c r="W1395" s="143" t="str">
        <x:v>daily-slam-paper-explainers</x:v>
      </x:c>
    </x:row>
    <x:row r="1396" ht="66" hidden="0" customHeight="1">
      <x:c r="A1396" s="143" t="str">
        <x:v>ST-1420</x:v>
      </x:c>
      <x:c r="B1396" s="143" t="str">
        <x:v>Course</x:v>
      </x:c>
      <x:c r="C1396" s="143" t="str">
        <x:v>Vision</x:v>
      </x:c>
      <x:c r="D1396" s="143" t="str">
        <x:v>Vision / Paper Walkthroughs</x:v>
      </x:c>
      <x:c r="E1396" s="143" t="str">
        <x:v>Vision; Paper Walkthroughs</x:v>
      </x:c>
      <x:c r="F1396" s="143" t="str">
        <x:v>Chinese</x:v>
      </x:c>
      <x:c r="G1396" s="143" t="str">
        <x:v>Daily SLAM 12: Cube-Splat and Consistent Panoramic Mapping</x:v>
      </x:c>
      <x:c r="H1396" s="143" t="str">
        <x:v>Community presenter (not the paper authors)</x:v>
      </x:c>
      <x:c r="I1396" s="143" t="str">
        <x:v>Quming Shijing Wang Lisao</x:v>
      </x:c>
      <x:c r="J1396" s="143" t="str">
        <x:v>Community Paper Tutorial</x:v>
      </x:c>
      <x:c r="K1396" s="556" t="n">
        <x:v>4</x:v>
      </x:c>
      <x:c r="L1396" s="143" t="str">
        <x:v>https://www.bilibili.com/video/BV1rsho63Ert/</x:v>
      </x:c>
      <x:c r="M1396" s="143" t="str">
        <x:v>Bilibili</x:v>
      </x:c>
      <x:c r="N1396" s="557" t="n">
        <x:v>31</x:v>
      </x:c>
      <x:c r="O1396" s="143" t="str">
        <x:v>B | Independent Technical Creator</x:v>
      </x:c>
      <x:c r="P1396" s="143" t="str">
        <x:v>Recommended</x:v>
      </x:c>
      <x:c r="Q1396" s="143" t="str">
        <x:v>Pending Verification</x:v>
      </x:c>
      <x:c r="R1396" s="558" t="n">
        <x:v>46291</x:v>
      </x:c>
      <x:c r="S1396" s="143" t="str">
        <x:v>Episode 12 of Daily SLAM, discussing cubemap factorization and consistency optimization. Bilibili search API confirms the upload metadata; watch-page access and playback remain unverified. Duration is the upload total and may include alternative-format parts.</x:v>
      </x:c>
      <x:c r="T1396" s="143" t="str">
        <x:v>BV1rsho63Ert</x:v>
      </x:c>
      <x:c r="U1396" s="143" t="str">
        <x:v>Daily SLAM Paper Explainers</x:v>
      </x:c>
      <x:c r="V1396" s="559" t="n">
        <x:v>12</x:v>
      </x:c>
      <x:c r="W1396" s="143" t="str">
        <x:v>daily-slam-paper-explainers</x:v>
      </x:c>
    </x:row>
    <x:row r="1397" ht="66" hidden="0" customHeight="1">
      <x:c r="A1397" s="143" t="str">
        <x:v>ST-1421</x:v>
      </x:c>
      <x:c r="B1397" s="143" t="str">
        <x:v>Course</x:v>
      </x:c>
      <x:c r="C1397" s="143" t="str">
        <x:v>Agent</x:v>
      </x:c>
      <x:c r="D1397" s="143" t="str">
        <x:v>AI Agents / Development</x:v>
      </x:c>
      <x:c r="E1397" s="143" t="str">
        <x:v>Agent; Development</x:v>
      </x:c>
      <x:c r="F1397" s="143" t="str">
        <x:v>Chinese</x:v>
      </x:c>
      <x:c r="G1397" s="143" t="str">
        <x:v>Build an Agent from Scratch 01: What Is an Agent?</x:v>
      </x:c>
      <x:c r="H1397" s="143" t="str">
        <x:v>Lidong_cc</x:v>
      </x:c>
      <x:c r="I1397" s="143" t="str">
        <x:v>Lidong_cc</x:v>
      </x:c>
      <x:c r="J1397" s="143" t="str">
        <x:v>Technical Tutorial</x:v>
      </x:c>
      <x:c r="K1397" s="556" t="n">
        <x:v>2</x:v>
      </x:c>
      <x:c r="L1397" s="143" t="str">
        <x:v>https://www.bilibili.com/video/BV1kcaT6qEF2/</x:v>
      </x:c>
      <x:c r="M1397" s="143" t="str">
        <x:v>Bilibili</x:v>
      </x:c>
      <x:c r="N1397" s="557" t="n">
        <x:v>35</x:v>
      </x:c>
      <x:c r="O1397" s="143" t="str">
        <x:v>B | Independent Technical Creator</x:v>
      </x:c>
      <x:c r="P1397" s="143" t="str">
        <x:v>Recommended</x:v>
      </x:c>
      <x:c r="Q1397" s="143" t="str">
        <x:v>Pending Verification</x:v>
      </x:c>
      <x:c r="R1397" s="558" t="n">
        <x:v>46291</x:v>
      </x:c>
      <x:c r="S1397" s="143" t="str">
        <x:v>First lesson of a Go-based introductory agent series. Bilibili search API confirms the upload metadata; watch-page access and playback remain unverified. Duration is the upload total and may include alternative-format parts.</x:v>
      </x:c>
      <x:c r="T1397" s="143" t="str">
        <x:v>BV1kcaT6qEF2</x:v>
      </x:c>
      <x:c r="U1397" s="143" t="str">
        <x:v>Build an Agent from Scratch with Go</x:v>
      </x:c>
      <x:c r="V1397" s="559" t="n">
        <x:v>1</x:v>
      </x:c>
      <x:c r="W1397" s="143" t="str">
        <x:v>lidong-build-agent-from-scratch</x:v>
      </x:c>
    </x:row>
    <x:row r="1398" ht="66" hidden="0" customHeight="1">
      <x:c r="A1398" s="143" t="str">
        <x:v>ST-1422</x:v>
      </x:c>
      <x:c r="B1398" s="143" t="str">
        <x:v>Course</x:v>
      </x:c>
      <x:c r="C1398" s="143" t="str">
        <x:v>Agent</x:v>
      </x:c>
      <x:c r="D1398" s="143" t="str">
        <x:v>AI Agents / Development</x:v>
      </x:c>
      <x:c r="E1398" s="143" t="str">
        <x:v>Agent; Development</x:v>
      </x:c>
      <x:c r="F1398" s="143" t="str">
        <x:v>Chinese</x:v>
      </x:c>
      <x:c r="G1398" s="143" t="str">
        <x:v>Build an Agent from Scratch 02: ReAct and the Architecture Blueprint</x:v>
      </x:c>
      <x:c r="H1398" s="143" t="str">
        <x:v>Lidong_cc</x:v>
      </x:c>
      <x:c r="I1398" s="143" t="str">
        <x:v>Lidong_cc</x:v>
      </x:c>
      <x:c r="J1398" s="143" t="str">
        <x:v>Technical Tutorial</x:v>
      </x:c>
      <x:c r="K1398" s="556" t="n">
        <x:v>4</x:v>
      </x:c>
      <x:c r="L1398" s="143" t="str">
        <x:v>https://www.bilibili.com/video/BV1pCh26EECT/</x:v>
      </x:c>
      <x:c r="M1398" s="143" t="str">
        <x:v>Bilibili</x:v>
      </x:c>
      <x:c r="N1398" s="557" t="n">
        <x:v>32</x:v>
      </x:c>
      <x:c r="O1398" s="143" t="str">
        <x:v>B | Independent Technical Creator</x:v>
      </x:c>
      <x:c r="P1398" s="143" t="str">
        <x:v>Recommended</x:v>
      </x:c>
      <x:c r="Q1398" s="143" t="str">
        <x:v>Pending Verification</x:v>
      </x:c>
      <x:c r="R1398" s="558" t="n">
        <x:v>46291</x:v>
      </x:c>
      <x:c r="S1398" s="143" t="str">
        <x:v>Second lesson in the same Go-based agent series. Bilibili search API confirms the upload metadata; watch-page access and playback remain unverified. Duration is the upload total and may include alternative-format parts.</x:v>
      </x:c>
      <x:c r="T1398" s="143" t="str">
        <x:v>BV1pCh26EECT</x:v>
      </x:c>
      <x:c r="U1398" s="143" t="str">
        <x:v>Build an Agent from Scratch with Go</x:v>
      </x:c>
      <x:c r="V1398" s="559" t="n">
        <x:v>2</x:v>
      </x:c>
      <x:c r="W1398" s="143" t="str">
        <x:v>lidong-build-agent-from-scratch</x:v>
      </x:c>
    </x:row>
    <x:row r="1399" ht="66" hidden="0" customHeight="1">
      <x:c r="A1399" s="143" t="str">
        <x:v>ST-1423</x:v>
      </x:c>
      <x:c r="B1399" s="143" t="str">
        <x:v>Course</x:v>
      </x:c>
      <x:c r="C1399" s="143" t="str">
        <x:v>Vision</x:v>
      </x:c>
      <x:c r="D1399" s="143" t="str">
        <x:v>Vision / Paper Walkthroughs</x:v>
      </x:c>
      <x:c r="E1399" s="143" t="str">
        <x:v>Vision; Paper Walkthroughs</x:v>
      </x:c>
      <x:c r="F1399" s="143" t="str">
        <x:v>Chinese</x:v>
      </x:c>
      <x:c r="G1399" s="143" t="str">
        <x:v>4DGS-Fixer: Sparse-View Gaussian Splatting with Video Diffusion Priors</x:v>
      </x:c>
      <x:c r="H1399" s="143" t="str">
        <x:v>Community presenter (not the paper authors)</x:v>
      </x:c>
      <x:c r="I1399" s="143" t="str">
        <x:v>HyperHorizon</x:v>
      </x:c>
      <x:c r="J1399" s="143" t="str">
        <x:v>Community Paper Tutorial</x:v>
      </x:c>
      <x:c r="K1399" s="556" t="n">
        <x:v>17</x:v>
      </x:c>
      <x:c r="L1399" s="143" t="str">
        <x:v>https://www.bilibili.com/video/BV1pGhn6yEUK/</x:v>
      </x:c>
      <x:c r="M1399" s="143" t="str">
        <x:v>Bilibili</x:v>
      </x:c>
      <x:c r="N1399" s="557" t="n">
        <x:v>169</x:v>
      </x:c>
      <x:c r="O1399" s="143" t="str">
        <x:v>B | Independent Technical Creator</x:v>
      </x:c>
      <x:c r="P1399" s="143" t="str">
        <x:v>Recommended</x:v>
      </x:c>
      <x:c r="Q1399" s="143" t="str">
        <x:v>Pending Verification</x:v>
      </x:c>
      <x:c r="R1399" s="558" t="n">
        <x:v>46291</x:v>
      </x:c>
      <x:c r="S1399" s="143" t="str">
        <x:v>Community walkthrough of iterative refinement for sparse-view dynamic reconstruction. Bilibili search API confirms the upload metadata; watch-page access and playback remain unverified. Duration is the upload total and may include alternative-format parts.</x:v>
      </x:c>
      <x:c r="T1399" s="143" t="str">
        <x:v>BV1pGhn6yEUK</x:v>
      </x:c>
      <x:c r="U1399" s="143" t="str"/>
      <x:c r="V1399" s="559" t="str"/>
      <x:c r="W1399" s="143" t="str"/>
    </x:row>
    <x:row r="1400" ht="79.19999694824219" hidden="0" customHeight="1">
      <x:c r="A1400" s="143" t="str">
        <x:v>ST-1424</x:v>
      </x:c>
      <x:c r="B1400" s="143" t="str">
        <x:v>Course</x:v>
      </x:c>
      <x:c r="C1400" s="143" t="str">
        <x:v>Vision</x:v>
      </x:c>
      <x:c r="D1400" s="143" t="str">
        <x:v>Vision / Paper Walkthroughs</x:v>
      </x:c>
      <x:c r="E1400" s="143" t="str">
        <x:v>Vision; Paper Walkthroughs</x:v>
      </x:c>
      <x:c r="F1400" s="143" t="str">
        <x:v>Chinese</x:v>
      </x:c>
      <x:c r="G1400" s="143" t="str">
        <x:v>VoxelTTO: Voxel-Aligned Gaussian Splatting with Test-Time Optimization</x:v>
      </x:c>
      <x:c r="H1400" s="143" t="str">
        <x:v>Community presenter (not the paper authors)</x:v>
      </x:c>
      <x:c r="I1400" s="143" t="str">
        <x:v>HyperHorizon</x:v>
      </x:c>
      <x:c r="J1400" s="143" t="str">
        <x:v>Community Paper Tutorial</x:v>
      </x:c>
      <x:c r="K1400" s="556" t="n">
        <x:v>15</x:v>
      </x:c>
      <x:c r="L1400" s="143" t="str">
        <x:v>https://www.bilibili.com/video/BV1tZh76LEDm/</x:v>
      </x:c>
      <x:c r="M1400" s="143" t="str">
        <x:v>Bilibili</x:v>
      </x:c>
      <x:c r="N1400" s="557" t="n">
        <x:v>345</x:v>
      </x:c>
      <x:c r="O1400" s="143" t="str">
        <x:v>B | Independent Technical Creator</x:v>
      </x:c>
      <x:c r="P1400" s="143" t="str">
        <x:v>Recommended</x:v>
      </x:c>
      <x:c r="Q1400" s="143" t="str">
        <x:v>Pending Verification</x:v>
      </x:c>
      <x:c r="R1400" s="558" t="n">
        <x:v>46291</x:v>
      </x:c>
      <x:c r="S1400" s="143" t="str">
        <x:v>Community walkthrough of voxel-aligned reconstruction and test-time pose/rendering optimization. Bilibili search API confirms the upload metadata; watch-page access and playback remain unverified. Duration is the upload total and may include alternative-format parts.</x:v>
      </x:c>
      <x:c r="T1400" s="143" t="str">
        <x:v>BV1tZh76LEDm</x:v>
      </x:c>
      <x:c r="U1400" s="143" t="str"/>
      <x:c r="V1400" s="559" t="str"/>
      <x:c r="W1400" s="143" t="str"/>
    </x:row>
    <x:row r="1401" ht="66" hidden="0" customHeight="1">
      <x:c r="A1401" s="143" t="str">
        <x:v>ST-1425</x:v>
      </x:c>
      <x:c r="B1401" s="143" t="str">
        <x:v>Course</x:v>
      </x:c>
      <x:c r="C1401" s="143" t="str">
        <x:v>Vision</x:v>
      </x:c>
      <x:c r="D1401" s="143" t="str">
        <x:v>Vision / Reconstruction Workflows</x:v>
      </x:c>
      <x:c r="E1401" s="143" t="str">
        <x:v>Vision; Reconstruction Workflows</x:v>
      </x:c>
      <x:c r="F1401" s="143" t="str">
        <x:v>Chinese</x:v>
      </x:c>
      <x:c r="G1401" s="143" t="str">
        <x:v>From SLAM Data Collection to 3D Gaussian Reconstruction</x:v>
      </x:c>
      <x:c r="H1401" s="143" t="str">
        <x:v>GundaSmart</x:v>
      </x:c>
      <x:c r="I1401" s="143" t="str">
        <x:v>GundaSmart</x:v>
      </x:c>
      <x:c r="J1401" s="143" t="str">
        <x:v>Technical Tutorial</x:v>
      </x:c>
      <x:c r="K1401" s="556" t="n">
        <x:v>21</x:v>
      </x:c>
      <x:c r="L1401" s="143" t="str">
        <x:v>https://www.bilibili.com/video/BV17ohq6mEeY/</x:v>
      </x:c>
      <x:c r="M1401" s="143" t="str">
        <x:v>Bilibili</x:v>
      </x:c>
      <x:c r="N1401" s="557" t="n">
        <x:v>1605</x:v>
      </x:c>
      <x:c r="O1401" s="143" t="str">
        <x:v>B | Independent Technical Creator</x:v>
      </x:c>
      <x:c r="P1401" s="143" t="str">
        <x:v>Recommended</x:v>
      </x:c>
      <x:c r="Q1401" s="143" t="str">
        <x:v>Pending Verification</x:v>
      </x:c>
      <x:c r="R1401" s="558" t="n">
        <x:v>46291</x:v>
      </x:c>
      <x:c r="S1401" s="143" t="str">
        <x:v>Practical workflow using FAST-LIVO2-RTK, Global-LVBA and 3DGS for reconstruction. Bilibili search API confirms the upload metadata; watch-page access and playback remain unverified. Duration is the upload total and may include alternative-format parts.</x:v>
      </x:c>
      <x:c r="T1401" s="143" t="str">
        <x:v>BV17ohq6mEeY</x:v>
      </x:c>
      <x:c r="U1401" s="143" t="str"/>
      <x:c r="V1401" s="559" t="str"/>
      <x:c r="W1401" s="143" t="str"/>
    </x:row>
    <x:row r="1402" ht="79.19999694824219" hidden="0" customHeight="1">
      <x:c r="A1402" s="143" t="str">
        <x:v>ST-1426</x:v>
      </x:c>
      <x:c r="B1402" s="143" t="str">
        <x:v>Course</x:v>
      </x:c>
      <x:c r="C1402" s="143" t="str">
        <x:v>World Model</x:v>
      </x:c>
      <x:c r="D1402" s="143" t="str">
        <x:v>World Models / Simulation Tooling</x:v>
      </x:c>
      <x:c r="E1402" s="143" t="str">
        <x:v>World Model; Simulation Tooling</x:v>
      </x:c>
      <x:c r="F1402" s="143" t="str">
        <x:v>Chinese</x:v>
      </x:c>
      <x:c r="G1402" s="143" t="str">
        <x:v>CARLA Tutorial 17: Reconstructing a Simulated Scene with 3DGS</x:v>
      </x:c>
      <x:c r="H1402" s="143" t="str">
        <x:v>yanwzguo158</x:v>
      </x:c>
      <x:c r="I1402" s="143" t="str">
        <x:v>yanwzguo158</x:v>
      </x:c>
      <x:c r="J1402" s="143" t="str">
        <x:v>Technical Tutorial</x:v>
      </x:c>
      <x:c r="K1402" s="556" t="n">
        <x:v>9</x:v>
      </x:c>
      <x:c r="L1402" s="143" t="str">
        <x:v>https://www.bilibili.com/video/BV1FZYY6EE1Z/</x:v>
      </x:c>
      <x:c r="M1402" s="143" t="str">
        <x:v>Bilibili</x:v>
      </x:c>
      <x:c r="N1402" s="557" t="n">
        <x:v>197</x:v>
      </x:c>
      <x:c r="O1402" s="143" t="str">
        <x:v>B | Independent Technical Creator</x:v>
      </x:c>
      <x:c r="P1402" s="143" t="str">
        <x:v>Recommended</x:v>
      </x:c>
      <x:c r="Q1402" s="143" t="str">
        <x:v>Pending Verification</x:v>
      </x:c>
      <x:c r="R1402" s="558" t="n">
        <x:v>46291</x:v>
      </x:c>
      <x:c r="S1402" s="143" t="str">
        <x:v>CARLA and ROS data collection, COLMAP processing and LiteGS training. Only lesson 17 is collected in this batch; the series is not complete. Bilibili search API confirms the upload metadata; watch-page access and playback remain unverified. Duration is the upload total and may include alternative-format parts.</x:v>
      </x:c>
      <x:c r="T1402" s="143" t="str">
        <x:v>BV1FZYY6EE1Z</x:v>
      </x:c>
      <x:c r="U1402" s="143" t="str">
        <x:v>CARLA Simulation Tutorials</x:v>
      </x:c>
      <x:c r="V1402" s="559" t="n">
        <x:v>17</x:v>
      </x:c>
      <x:c r="W1402" s="143" t="str">
        <x:v>yanwzguo-carla-simulation</x:v>
      </x:c>
    </x:row>
    <x:row r="1403">
      <x:c r="A1403"/>
      <x:c r="B1403"/>
      <x:c r="C1403"/>
      <x:c r="D1403"/>
      <x:c r="E1403"/>
      <x:c r="F1403"/>
      <x:c r="G1403"/>
      <x:c r="H1403"/>
      <x:c r="I1403"/>
      <x:c r="J1403"/>
      <x:c r="K1403"/>
      <x:c r="L1403"/>
      <x:c r="M1403"/>
      <x:c r="N1403"/>
      <x:c r="O1403"/>
      <x:c r="P1403"/>
      <x:c r="Q1403"/>
      <x:c r="R1403"/>
      <x:c r="S1403"/>
      <x:c r="T1403"/>
      <x:c r="U1403"/>
      <x:c r="V1403"/>
      <x:c r="W1403"/>
    </x:row>
    <x:row r="1404">
      <x:c r="A1404"/>
      <x:c r="B1404"/>
      <x:c r="C1404"/>
      <x:c r="D1404"/>
      <x:c r="E1404"/>
      <x:c r="F1404"/>
      <x:c r="G1404"/>
      <x:c r="H1404"/>
      <x:c r="I1404"/>
      <x:c r="J1404"/>
      <x:c r="K1404"/>
      <x:c r="L1404"/>
      <x:c r="M1404"/>
      <x:c r="N1404"/>
      <x:c r="O1404"/>
      <x:c r="P1404"/>
      <x:c r="Q1404"/>
      <x:c r="R1404"/>
      <x:c r="S1404"/>
      <x:c r="T1404"/>
      <x:c r="U1404"/>
      <x:c r="V1404"/>
      <x:c r="W1404"/>
    </x:row>
    <x:row r="1405">
      <x:c r="A1405"/>
      <x:c r="B1405"/>
      <x:c r="C1405"/>
      <x:c r="D1405"/>
      <x:c r="E1405"/>
      <x:c r="F1405"/>
      <x:c r="G1405"/>
      <x:c r="H1405"/>
      <x:c r="I1405"/>
      <x:c r="J1405"/>
      <x:c r="K1405"/>
      <x:c r="L1405"/>
      <x:c r="M1405"/>
      <x:c r="N1405"/>
      <x:c r="O1405"/>
      <x:c r="P1405"/>
      <x:c r="Q1405"/>
      <x:c r="R1405"/>
      <x:c r="S1405"/>
      <x:c r="T1405"/>
      <x:c r="U1405"/>
      <x:c r="V1405"/>
      <x:c r="W1405"/>
    </x:row>
    <x:row r="1406">
      <x:c r="A1406"/>
      <x:c r="B1406"/>
      <x:c r="C1406"/>
      <x:c r="D1406"/>
      <x:c r="E1406"/>
      <x:c r="F1406"/>
      <x:c r="G1406"/>
      <x:c r="H1406"/>
      <x:c r="I1406"/>
      <x:c r="J1406"/>
      <x:c r="K1406"/>
      <x:c r="L1406"/>
      <x:c r="M1406"/>
      <x:c r="N1406"/>
      <x:c r="O1406"/>
      <x:c r="P1406"/>
      <x:c r="Q1406"/>
      <x:c r="R1406"/>
      <x:c r="S1406"/>
      <x:c r="T1406"/>
      <x:c r="U1406"/>
      <x:c r="V1406"/>
      <x:c r="W1406"/>
    </x:row>
    <x:row r="1407">
      <x:c r="A1407"/>
      <x:c r="B1407"/>
      <x:c r="C1407"/>
      <x:c r="D1407"/>
      <x:c r="E1407"/>
      <x:c r="F1407"/>
      <x:c r="G1407"/>
      <x:c r="H1407"/>
      <x:c r="I1407"/>
      <x:c r="J1407"/>
      <x:c r="K1407"/>
      <x:c r="L1407"/>
      <x:c r="M1407"/>
      <x:c r="N1407"/>
      <x:c r="O1407"/>
      <x:c r="P1407"/>
      <x:c r="Q1407"/>
      <x:c r="R1407"/>
      <x:c r="S1407"/>
      <x:c r="T1407"/>
      <x:c r="U1407"/>
      <x:c r="V1407"/>
      <x:c r="W1407"/>
    </x:row>
    <x:row r="1408">
      <x:c r="A1408"/>
      <x:c r="B1408"/>
      <x:c r="C1408"/>
      <x:c r="D1408"/>
      <x:c r="E1408"/>
      <x:c r="F1408"/>
      <x:c r="G1408"/>
      <x:c r="H1408"/>
      <x:c r="I1408"/>
      <x:c r="J1408"/>
      <x:c r="K1408"/>
      <x:c r="L1408"/>
      <x:c r="M1408"/>
      <x:c r="N1408"/>
      <x:c r="O1408"/>
      <x:c r="P1408"/>
      <x:c r="Q1408"/>
      <x:c r="R1408"/>
      <x:c r="S1408"/>
      <x:c r="T1408"/>
      <x:c r="U1408"/>
      <x:c r="V1408"/>
      <x:c r="W1408"/>
    </x:row>
    <x:row r="1409">
      <x:c r="A1409"/>
      <x:c r="B1409"/>
      <x:c r="C1409"/>
      <x:c r="D1409"/>
      <x:c r="E1409"/>
      <x:c r="F1409"/>
      <x:c r="G1409"/>
      <x:c r="H1409"/>
      <x:c r="I1409"/>
      <x:c r="J1409"/>
      <x:c r="K1409"/>
      <x:c r="L1409"/>
      <x:c r="M1409"/>
      <x:c r="N1409"/>
      <x:c r="O1409"/>
      <x:c r="P1409"/>
      <x:c r="Q1409"/>
      <x:c r="R1409"/>
      <x:c r="S1409"/>
      <x:c r="T1409"/>
      <x:c r="U1409"/>
      <x:c r="V1409"/>
      <x:c r="W1409"/>
    </x:row>
    <x:row r="1410">
      <x:c r="A1410"/>
      <x:c r="B1410"/>
      <x:c r="C1410"/>
      <x:c r="D1410"/>
      <x:c r="E1410"/>
      <x:c r="F1410"/>
      <x:c r="G1410"/>
      <x:c r="H1410"/>
      <x:c r="I1410"/>
      <x:c r="J1410"/>
      <x:c r="K1410"/>
      <x:c r="L1410"/>
      <x:c r="M1410"/>
      <x:c r="N1410"/>
      <x:c r="O1410"/>
      <x:c r="P1410"/>
      <x:c r="Q1410"/>
      <x:c r="R1410"/>
      <x:c r="S1410"/>
      <x:c r="T1410"/>
      <x:c r="U1410"/>
      <x:c r="V1410"/>
      <x:c r="W1410"/>
    </x:row>
    <x:row r="1411">
      <x:c r="A1411"/>
      <x:c r="B1411"/>
      <x:c r="C1411"/>
      <x:c r="D1411"/>
      <x:c r="E1411"/>
      <x:c r="F1411"/>
      <x:c r="G1411"/>
      <x:c r="H1411"/>
      <x:c r="I1411"/>
      <x:c r="J1411"/>
      <x:c r="K1411"/>
      <x:c r="L1411"/>
      <x:c r="M1411"/>
      <x:c r="N1411"/>
      <x:c r="O1411"/>
      <x:c r="P1411"/>
      <x:c r="Q1411"/>
      <x:c r="R1411"/>
      <x:c r="S1411"/>
      <x:c r="T1411"/>
      <x:c r="U1411"/>
      <x:c r="V1411"/>
      <x:c r="W1411"/>
    </x:row>
    <x:row r="1412">
      <x:c r="A1412"/>
      <x:c r="B1412"/>
      <x:c r="C1412"/>
      <x:c r="D1412"/>
      <x:c r="E1412"/>
      <x:c r="F1412"/>
      <x:c r="G1412"/>
      <x:c r="H1412"/>
      <x:c r="I1412"/>
      <x:c r="J1412"/>
      <x:c r="K1412"/>
      <x:c r="L1412"/>
      <x:c r="M1412"/>
      <x:c r="N1412"/>
      <x:c r="O1412"/>
      <x:c r="P1412"/>
      <x:c r="Q1412"/>
      <x:c r="R1412"/>
      <x:c r="S1412"/>
      <x:c r="T1412"/>
      <x:c r="U1412"/>
      <x:c r="V1412"/>
      <x:c r="W1412"/>
    </x:row>
    <x:row r="1413">
      <x:c r="A1413"/>
      <x:c r="B1413"/>
      <x:c r="C1413"/>
      <x:c r="D1413"/>
      <x:c r="E1413"/>
      <x:c r="F1413"/>
      <x:c r="G1413"/>
      <x:c r="H1413"/>
      <x:c r="I1413"/>
      <x:c r="J1413"/>
      <x:c r="K1413"/>
      <x:c r="L1413"/>
      <x:c r="M1413"/>
      <x:c r="N1413"/>
      <x:c r="O1413"/>
      <x:c r="P1413"/>
      <x:c r="Q1413"/>
      <x:c r="R1413"/>
      <x:c r="S1413"/>
      <x:c r="T1413"/>
      <x:c r="U1413"/>
      <x:c r="V1413"/>
      <x:c r="W1413"/>
    </x:row>
    <x:row r="1414">
      <x:c r="A1414"/>
      <x:c r="B1414"/>
      <x:c r="C1414"/>
      <x:c r="D1414"/>
      <x:c r="E1414"/>
      <x:c r="F1414"/>
      <x:c r="G1414"/>
      <x:c r="H1414"/>
      <x:c r="I1414"/>
      <x:c r="J1414"/>
      <x:c r="K1414"/>
      <x:c r="L1414"/>
      <x:c r="M1414"/>
      <x:c r="N1414"/>
      <x:c r="O1414"/>
      <x:c r="P1414"/>
      <x:c r="Q1414"/>
      <x:c r="R1414"/>
      <x:c r="S1414"/>
      <x:c r="T1414"/>
      <x:c r="U1414"/>
      <x:c r="V1414"/>
      <x:c r="W1414"/>
    </x:row>
    <x:row r="1415">
      <x:c r="A1415"/>
      <x:c r="B1415"/>
      <x:c r="C1415"/>
      <x:c r="D1415"/>
      <x:c r="E1415"/>
      <x:c r="F1415"/>
      <x:c r="G1415"/>
      <x:c r="H1415"/>
      <x:c r="I1415"/>
      <x:c r="J1415"/>
      <x:c r="K1415"/>
      <x:c r="L1415"/>
      <x:c r="M1415"/>
      <x:c r="N1415"/>
      <x:c r="O1415"/>
      <x:c r="P1415"/>
      <x:c r="Q1415"/>
      <x:c r="R1415"/>
      <x:c r="S1415"/>
      <x:c r="T1415"/>
      <x:c r="U1415"/>
      <x:c r="V1415"/>
      <x:c r="W1415"/>
    </x:row>
    <x:row r="1416">
      <x:c r="A1416"/>
      <x:c r="B1416"/>
      <x:c r="C1416"/>
      <x:c r="D1416"/>
      <x:c r="E1416"/>
      <x:c r="F1416"/>
      <x:c r="G1416"/>
      <x:c r="H1416"/>
      <x:c r="I1416"/>
      <x:c r="J1416"/>
      <x:c r="K1416"/>
      <x:c r="L1416"/>
      <x:c r="M1416"/>
      <x:c r="N1416"/>
      <x:c r="O1416"/>
      <x:c r="P1416"/>
      <x:c r="Q1416"/>
      <x:c r="R1416"/>
      <x:c r="S1416"/>
      <x:c r="T1416"/>
      <x:c r="U1416"/>
      <x:c r="V1416"/>
      <x:c r="W1416"/>
    </x:row>
    <x:row r="1417">
      <x:c r="A1417"/>
      <x:c r="B1417"/>
      <x:c r="C1417"/>
      <x:c r="D1417"/>
      <x:c r="E1417"/>
      <x:c r="F1417"/>
      <x:c r="G1417"/>
      <x:c r="H1417"/>
      <x:c r="I1417"/>
      <x:c r="J1417"/>
      <x:c r="K1417"/>
      <x:c r="L1417"/>
      <x:c r="M1417"/>
      <x:c r="N1417"/>
      <x:c r="O1417"/>
      <x:c r="P1417"/>
      <x:c r="Q1417"/>
      <x:c r="R1417"/>
      <x:c r="S1417"/>
      <x:c r="T1417"/>
      <x:c r="U1417"/>
      <x:c r="V1417"/>
      <x:c r="W1417"/>
    </x:row>
    <x:row r="1418">
      <x:c r="A1418"/>
      <x:c r="B1418"/>
      <x:c r="C1418"/>
      <x:c r="D1418"/>
      <x:c r="E1418"/>
      <x:c r="F1418"/>
      <x:c r="G1418"/>
      <x:c r="H1418"/>
      <x:c r="I1418"/>
      <x:c r="J1418"/>
      <x:c r="K1418"/>
      <x:c r="L1418"/>
      <x:c r="M1418"/>
      <x:c r="N1418"/>
      <x:c r="O1418"/>
      <x:c r="P1418"/>
      <x:c r="Q1418"/>
      <x:c r="R1418"/>
      <x:c r="S1418"/>
      <x:c r="T1418"/>
      <x:c r="U1418"/>
      <x:c r="V1418"/>
      <x:c r="W1418"/>
    </x:row>
    <x:row r="1419">
      <x:c r="A1419"/>
      <x:c r="B1419"/>
      <x:c r="C1419"/>
      <x:c r="D1419"/>
      <x:c r="E1419"/>
      <x:c r="F1419"/>
      <x:c r="G1419"/>
      <x:c r="H1419"/>
      <x:c r="I1419"/>
      <x:c r="J1419"/>
      <x:c r="K1419"/>
      <x:c r="L1419"/>
      <x:c r="M1419"/>
      <x:c r="N1419"/>
      <x:c r="O1419"/>
      <x:c r="P1419"/>
      <x:c r="Q1419"/>
      <x:c r="R1419"/>
      <x:c r="S1419"/>
      <x:c r="T1419"/>
      <x:c r="U1419"/>
      <x:c r="V1419"/>
      <x:c r="W1419"/>
    </x:row>
    <x:row r="1420">
      <x:c r="A1420"/>
      <x:c r="B1420"/>
      <x:c r="C1420"/>
      <x:c r="D1420"/>
      <x:c r="E1420"/>
      <x:c r="F1420"/>
      <x:c r="G1420"/>
      <x:c r="H1420"/>
      <x:c r="I1420"/>
      <x:c r="J1420"/>
      <x:c r="K1420"/>
      <x:c r="L1420"/>
      <x:c r="M1420"/>
      <x:c r="N1420"/>
      <x:c r="O1420"/>
      <x:c r="P1420"/>
      <x:c r="Q1420"/>
      <x:c r="R1420"/>
      <x:c r="S1420"/>
      <x:c r="T1420"/>
      <x:c r="U1420"/>
      <x:c r="V1420"/>
      <x:c r="W1420"/>
    </x:row>
    <x:row r="1421">
      <x:c r="A1421"/>
      <x:c r="B1421"/>
      <x:c r="C1421"/>
      <x:c r="D1421"/>
      <x:c r="E1421"/>
      <x:c r="F1421"/>
      <x:c r="G1421"/>
      <x:c r="H1421"/>
      <x:c r="I1421"/>
      <x:c r="J1421"/>
      <x:c r="K1421"/>
      <x:c r="L1421"/>
      <x:c r="M1421"/>
      <x:c r="N1421"/>
      <x:c r="O1421"/>
      <x:c r="P1421"/>
      <x:c r="Q1421"/>
      <x:c r="R1421"/>
      <x:c r="S1421"/>
      <x:c r="T1421"/>
      <x:c r="U1421"/>
      <x:c r="V1421"/>
      <x:c r="W1421"/>
    </x:row>
    <x:row r="1422">
      <x:c r="A1422"/>
      <x:c r="B1422"/>
      <x:c r="C1422"/>
      <x:c r="D1422"/>
      <x:c r="E1422"/>
      <x:c r="F1422"/>
      <x:c r="G1422"/>
      <x:c r="H1422"/>
      <x:c r="I1422"/>
      <x:c r="J1422"/>
      <x:c r="K1422"/>
      <x:c r="L1422"/>
      <x:c r="M1422"/>
      <x:c r="N1422"/>
      <x:c r="O1422"/>
      <x:c r="P1422"/>
      <x:c r="Q1422"/>
      <x:c r="R1422"/>
      <x:c r="S1422"/>
      <x:c r="T1422"/>
      <x:c r="U1422"/>
      <x:c r="V1422"/>
      <x:c r="W1422"/>
    </x:row>
    <x:row r="1423">
      <x:c r="A1423"/>
      <x:c r="B1423"/>
      <x:c r="C1423"/>
      <x:c r="D1423"/>
      <x:c r="E1423"/>
      <x:c r="F1423"/>
      <x:c r="G1423"/>
      <x:c r="H1423"/>
      <x:c r="I1423"/>
      <x:c r="J1423"/>
      <x:c r="K1423"/>
      <x:c r="L1423"/>
      <x:c r="M1423"/>
      <x:c r="N1423"/>
      <x:c r="O1423"/>
      <x:c r="P1423"/>
      <x:c r="Q1423"/>
      <x:c r="R1423"/>
      <x:c r="S1423"/>
      <x:c r="T1423"/>
      <x:c r="U1423"/>
      <x:c r="V1423"/>
      <x:c r="W1423"/>
    </x:row>
    <x:row r="1424">
      <x:c r="A1424"/>
      <x:c r="B1424"/>
      <x:c r="C1424"/>
      <x:c r="D1424"/>
      <x:c r="E1424"/>
      <x:c r="F1424"/>
      <x:c r="G1424"/>
      <x:c r="H1424"/>
      <x:c r="I1424"/>
      <x:c r="J1424"/>
      <x:c r="K1424"/>
      <x:c r="L1424"/>
      <x:c r="M1424"/>
      <x:c r="N1424"/>
      <x:c r="O1424"/>
      <x:c r="P1424"/>
      <x:c r="Q1424"/>
      <x:c r="R1424"/>
      <x:c r="S1424"/>
      <x:c r="T1424"/>
      <x:c r="U1424"/>
      <x:c r="V1424"/>
      <x:c r="W1424"/>
    </x:row>
    <x:row r="1425">
      <x:c r="A1425"/>
      <x:c r="B1425"/>
      <x:c r="C1425"/>
      <x:c r="D1425"/>
      <x:c r="E1425"/>
      <x:c r="F1425"/>
      <x:c r="G1425"/>
      <x:c r="H1425"/>
      <x:c r="I1425"/>
      <x:c r="J1425"/>
      <x:c r="K1425"/>
      <x:c r="L1425"/>
      <x:c r="M1425"/>
      <x:c r="N1425"/>
      <x:c r="O1425"/>
      <x:c r="P1425"/>
      <x:c r="Q1425"/>
      <x:c r="R1425"/>
      <x:c r="S1425"/>
      <x:c r="T1425"/>
      <x:c r="U1425"/>
      <x:c r="V1425"/>
      <x:c r="W1425"/>
    </x:row>
    <x:row r="1426">
      <x:c r="A1426"/>
      <x:c r="B1426"/>
      <x:c r="C1426"/>
      <x:c r="D1426"/>
      <x:c r="E1426"/>
      <x:c r="F1426"/>
      <x:c r="G1426"/>
      <x:c r="H1426"/>
      <x:c r="I1426"/>
      <x:c r="J1426"/>
      <x:c r="K1426"/>
      <x:c r="L1426"/>
      <x:c r="M1426"/>
      <x:c r="N1426"/>
      <x:c r="O1426"/>
      <x:c r="P1426"/>
      <x:c r="Q1426"/>
      <x:c r="R1426"/>
      <x:c r="S1426"/>
      <x:c r="T1426"/>
      <x:c r="U1426"/>
      <x:c r="V1426"/>
      <x:c r="W1426"/>
    </x:row>
    <x:row r="1427">
      <x:c r="A1427"/>
      <x:c r="B1427"/>
      <x:c r="C1427"/>
      <x:c r="D1427"/>
      <x:c r="E1427"/>
      <x:c r="F1427"/>
      <x:c r="G1427"/>
      <x:c r="H1427"/>
      <x:c r="I1427"/>
      <x:c r="J1427"/>
      <x:c r="K1427"/>
      <x:c r="L1427"/>
      <x:c r="M1427"/>
      <x:c r="N1427"/>
      <x:c r="O1427"/>
      <x:c r="P1427"/>
      <x:c r="Q1427"/>
      <x:c r="R1427"/>
      <x:c r="S1427"/>
      <x:c r="T1427"/>
      <x:c r="U1427"/>
      <x:c r="V1427"/>
      <x:c r="W1427"/>
    </x:row>
    <x:row r="1428">
      <x:c r="A1428"/>
      <x:c r="B1428"/>
      <x:c r="C1428"/>
      <x:c r="D1428"/>
      <x:c r="E1428"/>
      <x:c r="F1428"/>
      <x:c r="G1428"/>
      <x:c r="H1428"/>
      <x:c r="I1428"/>
      <x:c r="J1428"/>
      <x:c r="K1428"/>
      <x:c r="L1428"/>
      <x:c r="M1428"/>
      <x:c r="N1428"/>
      <x:c r="O1428"/>
      <x:c r="P1428"/>
      <x:c r="Q1428"/>
      <x:c r="R1428"/>
      <x:c r="S1428"/>
      <x:c r="T1428"/>
      <x:c r="U1428"/>
      <x:c r="V1428"/>
      <x:c r="W1428"/>
    </x:row>
    <x:row r="1429">
      <x:c r="A1429"/>
      <x:c r="B1429"/>
      <x:c r="C1429"/>
      <x:c r="D1429"/>
      <x:c r="E1429"/>
      <x:c r="F1429"/>
      <x:c r="G1429"/>
      <x:c r="H1429"/>
      <x:c r="I1429"/>
      <x:c r="J1429"/>
      <x:c r="K1429"/>
      <x:c r="L1429"/>
      <x:c r="M1429"/>
      <x:c r="N1429"/>
      <x:c r="O1429"/>
      <x:c r="P1429"/>
      <x:c r="Q1429"/>
      <x:c r="R1429"/>
      <x:c r="S1429"/>
      <x:c r="T1429"/>
      <x:c r="U1429"/>
      <x:c r="V1429"/>
      <x:c r="W1429"/>
    </x:row>
    <x:row r="1430">
      <x:c r="A1430"/>
      <x:c r="B1430"/>
      <x:c r="C1430"/>
      <x:c r="D1430"/>
      <x:c r="E1430"/>
      <x:c r="F1430"/>
      <x:c r="G1430"/>
      <x:c r="H1430"/>
      <x:c r="I1430"/>
      <x:c r="J1430"/>
      <x:c r="K1430"/>
      <x:c r="L1430"/>
      <x:c r="M1430"/>
      <x:c r="N1430"/>
      <x:c r="O1430"/>
      <x:c r="P1430"/>
      <x:c r="Q1430"/>
      <x:c r="R1430"/>
      <x:c r="S1430"/>
      <x:c r="T1430"/>
      <x:c r="U1430"/>
      <x:c r="V1430"/>
      <x:c r="W1430"/>
    </x:row>
    <x:row r="1431">
      <x:c r="A1431"/>
      <x:c r="B1431"/>
      <x:c r="C1431"/>
      <x:c r="D1431"/>
      <x:c r="E1431"/>
      <x:c r="F1431"/>
      <x:c r="G1431"/>
      <x:c r="H1431"/>
      <x:c r="I1431"/>
      <x:c r="J1431"/>
      <x:c r="K1431"/>
      <x:c r="L1431"/>
      <x:c r="M1431"/>
      <x:c r="N1431"/>
      <x:c r="O1431"/>
      <x:c r="P1431"/>
      <x:c r="Q1431"/>
      <x:c r="R1431"/>
      <x:c r="S1431"/>
      <x:c r="T1431"/>
      <x:c r="U1431"/>
      <x:c r="V1431"/>
      <x:c r="W1431"/>
    </x:row>
    <x:row r="1432">
      <x:c r="A1432"/>
      <x:c r="B1432"/>
      <x:c r="C1432"/>
      <x:c r="D1432"/>
      <x:c r="E1432"/>
      <x:c r="F1432"/>
      <x:c r="G1432"/>
      <x:c r="H1432"/>
      <x:c r="I1432"/>
      <x:c r="J1432"/>
      <x:c r="K1432"/>
      <x:c r="L1432"/>
      <x:c r="M1432"/>
      <x:c r="N1432"/>
      <x:c r="O1432"/>
      <x:c r="P1432"/>
      <x:c r="Q1432"/>
      <x:c r="R1432"/>
      <x:c r="S1432"/>
      <x:c r="T1432"/>
      <x:c r="U1432"/>
      <x:c r="V1432"/>
      <x:c r="W1432"/>
    </x:row>
    <x:row r="1433">
      <x:c r="A1433"/>
      <x:c r="B1433"/>
      <x:c r="C1433"/>
      <x:c r="D1433"/>
      <x:c r="E1433"/>
      <x:c r="F1433"/>
      <x:c r="G1433"/>
      <x:c r="H1433"/>
      <x:c r="I1433"/>
      <x:c r="J1433"/>
      <x:c r="K1433"/>
      <x:c r="L1433"/>
      <x:c r="M1433"/>
      <x:c r="N1433"/>
      <x:c r="O1433"/>
      <x:c r="P1433"/>
      <x:c r="Q1433"/>
      <x:c r="R1433"/>
      <x:c r="S1433"/>
      <x:c r="T1433"/>
      <x:c r="U1433"/>
      <x:c r="V1433"/>
      <x:c r="W1433"/>
    </x:row>
    <x:row r="1434">
      <x:c r="A1434"/>
      <x:c r="B1434"/>
      <x:c r="C1434"/>
      <x:c r="D1434"/>
      <x:c r="E1434"/>
      <x:c r="F1434"/>
      <x:c r="G1434"/>
      <x:c r="H1434"/>
      <x:c r="I1434"/>
      <x:c r="J1434"/>
      <x:c r="K1434"/>
      <x:c r="L1434"/>
      <x:c r="M1434"/>
      <x:c r="N1434"/>
      <x:c r="O1434"/>
      <x:c r="P1434"/>
      <x:c r="Q1434"/>
      <x:c r="R1434"/>
      <x:c r="S1434"/>
      <x:c r="T1434"/>
      <x:c r="U1434"/>
      <x:c r="V1434"/>
      <x:c r="W1434"/>
    </x:row>
    <x:row r="1435">
      <x:c r="A1435"/>
      <x:c r="B1435"/>
      <x:c r="C1435"/>
      <x:c r="D1435"/>
      <x:c r="E1435"/>
      <x:c r="F1435"/>
      <x:c r="G1435"/>
      <x:c r="H1435"/>
      <x:c r="I1435"/>
      <x:c r="J1435"/>
      <x:c r="K1435"/>
      <x:c r="L1435"/>
      <x:c r="M1435"/>
      <x:c r="N1435"/>
      <x:c r="O1435"/>
      <x:c r="P1435"/>
      <x:c r="Q1435"/>
      <x:c r="R1435"/>
      <x:c r="S1435"/>
      <x:c r="T1435"/>
      <x:c r="U1435"/>
      <x:c r="V1435"/>
      <x:c r="W1435"/>
    </x:row>
    <x:row r="1436">
      <x:c r="A1436"/>
      <x:c r="B1436"/>
      <x:c r="C1436"/>
      <x:c r="D1436"/>
      <x:c r="E1436"/>
      <x:c r="F1436"/>
      <x:c r="G1436"/>
      <x:c r="H1436"/>
      <x:c r="I1436"/>
      <x:c r="J1436"/>
      <x:c r="K1436"/>
      <x:c r="L1436"/>
      <x:c r="M1436"/>
      <x:c r="N1436"/>
      <x:c r="O1436"/>
      <x:c r="P1436"/>
      <x:c r="Q1436"/>
      <x:c r="R1436"/>
      <x:c r="S1436"/>
      <x:c r="T1436"/>
      <x:c r="U1436"/>
      <x:c r="V1436"/>
      <x:c r="W1436"/>
    </x:row>
    <x:row r="1437">
      <x:c r="A1437"/>
      <x:c r="B1437"/>
      <x:c r="C1437"/>
      <x:c r="D1437"/>
      <x:c r="E1437"/>
      <x:c r="F1437"/>
      <x:c r="G1437"/>
      <x:c r="H1437"/>
      <x:c r="I1437"/>
      <x:c r="J1437"/>
      <x:c r="K1437"/>
      <x:c r="L1437"/>
      <x:c r="M1437"/>
      <x:c r="N1437"/>
      <x:c r="O1437"/>
      <x:c r="P1437"/>
      <x:c r="Q1437"/>
      <x:c r="R1437"/>
      <x:c r="S1437"/>
      <x:c r="T1437"/>
      <x:c r="U1437"/>
      <x:c r="V1437"/>
      <x:c r="W1437"/>
    </x:row>
    <x:row r="1438">
      <x:c r="A1438"/>
      <x:c r="B1438"/>
      <x:c r="C1438"/>
      <x:c r="D1438"/>
      <x:c r="E1438"/>
      <x:c r="F1438"/>
      <x:c r="G1438"/>
      <x:c r="H1438"/>
      <x:c r="I1438"/>
      <x:c r="J1438"/>
      <x:c r="K1438"/>
      <x:c r="L1438"/>
      <x:c r="M1438"/>
      <x:c r="N1438"/>
      <x:c r="O1438"/>
      <x:c r="P1438"/>
      <x:c r="Q1438"/>
      <x:c r="R1438"/>
      <x:c r="S1438"/>
      <x:c r="T1438"/>
      <x:c r="U1438"/>
      <x:c r="V1438"/>
      <x:c r="W1438"/>
    </x:row>
    <x:row r="1439">
      <x:c r="A1439"/>
      <x:c r="B1439"/>
      <x:c r="C1439"/>
      <x:c r="D1439"/>
      <x:c r="E1439"/>
      <x:c r="F1439"/>
      <x:c r="G1439"/>
      <x:c r="H1439"/>
      <x:c r="I1439"/>
      <x:c r="J1439"/>
      <x:c r="K1439"/>
      <x:c r="L1439"/>
      <x:c r="M1439"/>
      <x:c r="N1439"/>
      <x:c r="O1439"/>
      <x:c r="P1439"/>
      <x:c r="Q1439"/>
      <x:c r="R1439"/>
      <x:c r="S1439"/>
      <x:c r="T1439"/>
      <x:c r="U1439"/>
      <x:c r="V1439"/>
      <x:c r="W1439"/>
    </x:row>
    <x:row r="1440">
      <x:c r="A1440"/>
      <x:c r="B1440"/>
      <x:c r="C1440"/>
      <x:c r="D1440"/>
      <x:c r="E1440"/>
      <x:c r="F1440"/>
      <x:c r="G1440"/>
      <x:c r="H1440"/>
      <x:c r="I1440"/>
      <x:c r="J1440"/>
      <x:c r="K1440"/>
      <x:c r="L1440"/>
      <x:c r="M1440"/>
      <x:c r="N1440"/>
      <x:c r="O1440"/>
      <x:c r="P1440"/>
      <x:c r="Q1440"/>
      <x:c r="R1440"/>
      <x:c r="S1440"/>
      <x:c r="T1440"/>
      <x:c r="U1440"/>
      <x:c r="V1440"/>
      <x:c r="W1440"/>
    </x:row>
    <x:row r="1441">
      <x:c r="A1441"/>
      <x:c r="B1441"/>
      <x:c r="C1441"/>
      <x:c r="D1441"/>
      <x:c r="E1441"/>
      <x:c r="F1441"/>
      <x:c r="G1441"/>
      <x:c r="H1441"/>
      <x:c r="I1441"/>
      <x:c r="J1441"/>
      <x:c r="K1441"/>
      <x:c r="L1441"/>
      <x:c r="M1441"/>
      <x:c r="N1441"/>
      <x:c r="O1441"/>
      <x:c r="P1441"/>
      <x:c r="Q1441"/>
      <x:c r="R1441"/>
      <x:c r="S1441"/>
      <x:c r="T1441"/>
      <x:c r="U1441"/>
      <x:c r="V1441"/>
      <x:c r="W1441"/>
    </x:row>
    <x:row r="1442">
      <x:c r="A1442"/>
      <x:c r="B1442"/>
      <x:c r="C1442"/>
      <x:c r="D1442"/>
      <x:c r="E1442"/>
      <x:c r="F1442"/>
      <x:c r="G1442"/>
      <x:c r="H1442"/>
      <x:c r="I1442"/>
      <x:c r="J1442"/>
      <x:c r="K1442"/>
      <x:c r="L1442"/>
      <x:c r="M1442"/>
      <x:c r="N1442"/>
      <x:c r="O1442"/>
      <x:c r="P1442"/>
      <x:c r="Q1442"/>
      <x:c r="R1442"/>
      <x:c r="S1442"/>
      <x:c r="T1442"/>
      <x:c r="U1442"/>
      <x:c r="V1442"/>
      <x:c r="W1442"/>
    </x:row>
    <x:row r="1443">
      <x:c r="A1443"/>
      <x:c r="B1443"/>
      <x:c r="C1443"/>
      <x:c r="D1443"/>
      <x:c r="E1443"/>
      <x:c r="F1443"/>
      <x:c r="G1443"/>
      <x:c r="H1443"/>
      <x:c r="I1443"/>
      <x:c r="J1443"/>
      <x:c r="K1443"/>
      <x:c r="L1443"/>
      <x:c r="M1443"/>
      <x:c r="N1443"/>
      <x:c r="O1443"/>
      <x:c r="P1443"/>
      <x:c r="Q1443"/>
      <x:c r="R1443"/>
      <x:c r="S1443"/>
      <x:c r="T1443"/>
      <x:c r="U1443"/>
      <x:c r="V1443"/>
      <x:c r="W1443"/>
    </x:row>
    <x:row r="1444">
      <x:c r="A1444"/>
      <x:c r="B1444"/>
      <x:c r="C1444"/>
      <x:c r="D1444"/>
      <x:c r="E1444"/>
      <x:c r="F1444"/>
      <x:c r="G1444"/>
      <x:c r="H1444"/>
      <x:c r="I1444"/>
      <x:c r="J1444"/>
      <x:c r="K1444"/>
      <x:c r="L1444"/>
      <x:c r="M1444"/>
      <x:c r="N1444"/>
      <x:c r="O1444"/>
      <x:c r="P1444"/>
      <x:c r="Q1444"/>
      <x:c r="R1444"/>
      <x:c r="S1444"/>
      <x:c r="T1444"/>
      <x:c r="U1444"/>
      <x:c r="V1444"/>
      <x:c r="W1444"/>
    </x:row>
    <x:row r="1445">
      <x:c r="A1445"/>
      <x:c r="B1445"/>
      <x:c r="C1445"/>
      <x:c r="D1445"/>
      <x:c r="E1445"/>
      <x:c r="F1445"/>
      <x:c r="G1445"/>
      <x:c r="H1445"/>
      <x:c r="I1445"/>
      <x:c r="J1445"/>
      <x:c r="K1445"/>
      <x:c r="L1445"/>
      <x:c r="M1445"/>
      <x:c r="N1445"/>
      <x:c r="O1445"/>
      <x:c r="P1445"/>
      <x:c r="Q1445"/>
      <x:c r="R1445"/>
      <x:c r="S1445"/>
      <x:c r="T1445"/>
      <x:c r="U1445"/>
      <x:c r="V1445"/>
      <x:c r="W1445"/>
    </x:row>
    <x:row r="1446">
      <x:c r="A1446"/>
      <x:c r="B1446"/>
      <x:c r="C1446"/>
      <x:c r="D1446"/>
      <x:c r="E1446"/>
      <x:c r="F1446"/>
      <x:c r="G1446"/>
      <x:c r="H1446"/>
      <x:c r="I1446"/>
      <x:c r="J1446"/>
      <x:c r="K1446"/>
      <x:c r="L1446"/>
      <x:c r="M1446"/>
      <x:c r="N1446"/>
      <x:c r="O1446"/>
      <x:c r="P1446"/>
      <x:c r="Q1446"/>
      <x:c r="R1446"/>
      <x:c r="S1446"/>
      <x:c r="T1446"/>
      <x:c r="U1446"/>
      <x:c r="V1446"/>
      <x:c r="W1446"/>
    </x:row>
    <x:row r="1447">
      <x:c r="A1447"/>
      <x:c r="B1447"/>
      <x:c r="C1447"/>
      <x:c r="D1447"/>
      <x:c r="E1447"/>
      <x:c r="F1447"/>
      <x:c r="G1447"/>
      <x:c r="H1447"/>
      <x:c r="I1447"/>
      <x:c r="J1447"/>
      <x:c r="K1447"/>
      <x:c r="L1447"/>
      <x:c r="M1447"/>
      <x:c r="N1447"/>
      <x:c r="O1447"/>
      <x:c r="P1447"/>
      <x:c r="Q1447"/>
      <x:c r="R1447"/>
      <x:c r="S1447"/>
      <x:c r="T1447"/>
      <x:c r="U1447"/>
      <x:c r="V1447"/>
      <x:c r="W1447"/>
    </x:row>
    <x:row r="1448">
      <x:c r="A1448"/>
      <x:c r="B1448"/>
      <x:c r="C1448"/>
      <x:c r="D1448"/>
      <x:c r="E1448"/>
      <x:c r="F1448"/>
      <x:c r="G1448"/>
      <x:c r="H1448"/>
      <x:c r="I1448"/>
      <x:c r="J1448"/>
      <x:c r="K1448"/>
      <x:c r="L1448"/>
      <x:c r="M1448"/>
      <x:c r="N1448"/>
      <x:c r="O1448"/>
      <x:c r="P1448"/>
      <x:c r="Q1448"/>
      <x:c r="R1448"/>
      <x:c r="S1448"/>
      <x:c r="T1448"/>
      <x:c r="U1448"/>
      <x:c r="V1448"/>
      <x:c r="W1448"/>
    </x:row>
    <x:row r="1449">
      <x:c r="A1449"/>
      <x:c r="B1449"/>
      <x:c r="C1449"/>
      <x:c r="D1449"/>
      <x:c r="E1449"/>
      <x:c r="F1449"/>
      <x:c r="G1449"/>
      <x:c r="H1449"/>
      <x:c r="I1449"/>
      <x:c r="J1449"/>
      <x:c r="K1449"/>
      <x:c r="L1449"/>
      <x:c r="M1449"/>
      <x:c r="N1449"/>
      <x:c r="O1449"/>
      <x:c r="P1449"/>
      <x:c r="Q1449"/>
      <x:c r="R1449"/>
      <x:c r="S1449"/>
      <x:c r="T1449"/>
      <x:c r="U1449"/>
      <x:c r="V1449"/>
      <x:c r="W1449"/>
    </x:row>
    <x:row r="1450">
      <x:c r="A1450"/>
      <x:c r="B1450"/>
      <x:c r="C1450"/>
      <x:c r="D1450"/>
      <x:c r="E1450"/>
      <x:c r="F1450"/>
      <x:c r="G1450"/>
      <x:c r="H1450"/>
      <x:c r="I1450"/>
      <x:c r="J1450"/>
      <x:c r="K1450"/>
      <x:c r="L1450"/>
      <x:c r="M1450"/>
      <x:c r="N1450"/>
      <x:c r="O1450"/>
      <x:c r="P1450"/>
      <x:c r="Q1450"/>
      <x:c r="R1450"/>
      <x:c r="S1450"/>
      <x:c r="T1450"/>
      <x:c r="U1450"/>
      <x:c r="V1450"/>
      <x:c r="W1450"/>
    </x:row>
    <x:row r="1451">
      <x:c r="A1451"/>
      <x:c r="B1451"/>
      <x:c r="C1451"/>
      <x:c r="D1451"/>
      <x:c r="E1451"/>
      <x:c r="F1451"/>
      <x:c r="G1451"/>
      <x:c r="H1451"/>
      <x:c r="I1451"/>
      <x:c r="J1451"/>
      <x:c r="K1451"/>
      <x:c r="L1451"/>
      <x:c r="M1451"/>
      <x:c r="N1451"/>
      <x:c r="O1451"/>
      <x:c r="P1451"/>
      <x:c r="Q1451"/>
      <x:c r="R1451"/>
      <x:c r="S1451"/>
      <x:c r="T1451"/>
      <x:c r="U1451"/>
      <x:c r="V1451"/>
      <x:c r="W1451"/>
    </x:row>
    <x:row r="1452">
      <x:c r="A1452"/>
      <x:c r="B1452"/>
      <x:c r="C1452"/>
      <x:c r="D1452"/>
      <x:c r="E1452"/>
      <x:c r="F1452"/>
      <x:c r="G1452"/>
      <x:c r="H1452"/>
      <x:c r="I1452"/>
      <x:c r="J1452"/>
      <x:c r="K1452"/>
      <x:c r="L1452"/>
      <x:c r="M1452"/>
      <x:c r="N1452"/>
      <x:c r="O1452"/>
      <x:c r="P1452"/>
      <x:c r="Q1452"/>
      <x:c r="R1452"/>
      <x:c r="S1452"/>
      <x:c r="T1452"/>
      <x:c r="U1452"/>
      <x:c r="V1452"/>
      <x:c r="W1452"/>
    </x:row>
    <x:row r="1453">
      <x:c r="A1453"/>
      <x:c r="B1453"/>
      <x:c r="C1453"/>
      <x:c r="D1453"/>
      <x:c r="E1453"/>
      <x:c r="F1453"/>
      <x:c r="G1453"/>
      <x:c r="H1453"/>
      <x:c r="I1453"/>
      <x:c r="J1453"/>
      <x:c r="K1453"/>
      <x:c r="L1453"/>
      <x:c r="M1453"/>
      <x:c r="N1453"/>
      <x:c r="O1453"/>
      <x:c r="P1453"/>
      <x:c r="Q1453"/>
      <x:c r="R1453"/>
      <x:c r="S1453"/>
      <x:c r="T1453"/>
      <x:c r="U1453"/>
      <x:c r="V1453"/>
      <x:c r="W1453"/>
    </x:row>
    <x:row r="1454">
      <x:c r="A1454"/>
      <x:c r="B1454"/>
      <x:c r="C1454"/>
      <x:c r="D1454"/>
      <x:c r="E1454"/>
      <x:c r="F1454"/>
      <x:c r="G1454"/>
      <x:c r="H1454"/>
      <x:c r="I1454"/>
      <x:c r="J1454"/>
      <x:c r="K1454"/>
      <x:c r="L1454"/>
      <x:c r="M1454"/>
      <x:c r="N1454"/>
      <x:c r="O1454"/>
      <x:c r="P1454"/>
      <x:c r="Q1454"/>
      <x:c r="R1454"/>
      <x:c r="S1454"/>
      <x:c r="T1454"/>
      <x:c r="U1454"/>
      <x:c r="V1454"/>
      <x:c r="W1454"/>
    </x:row>
    <x:row r="1455">
      <x:c r="A1455"/>
      <x:c r="B1455"/>
      <x:c r="C1455"/>
      <x:c r="D1455"/>
      <x:c r="E1455"/>
      <x:c r="F1455"/>
      <x:c r="G1455"/>
      <x:c r="H1455"/>
      <x:c r="I1455"/>
      <x:c r="J1455"/>
      <x:c r="K1455"/>
      <x:c r="L1455"/>
      <x:c r="M1455"/>
      <x:c r="N1455"/>
      <x:c r="O1455"/>
      <x:c r="P1455"/>
      <x:c r="Q1455"/>
      <x:c r="R1455"/>
      <x:c r="S1455"/>
      <x:c r="T1455"/>
      <x:c r="U1455"/>
      <x:c r="V1455"/>
      <x:c r="W1455"/>
    </x:row>
    <x:row r="1456">
      <x:c r="A1456"/>
      <x:c r="B1456"/>
      <x:c r="C1456"/>
      <x:c r="D1456"/>
      <x:c r="E1456"/>
      <x:c r="F1456"/>
      <x:c r="G1456"/>
      <x:c r="H1456"/>
      <x:c r="I1456"/>
      <x:c r="J1456"/>
      <x:c r="K1456"/>
      <x:c r="L1456"/>
      <x:c r="M1456"/>
      <x:c r="N1456"/>
      <x:c r="O1456"/>
      <x:c r="P1456"/>
      <x:c r="Q1456"/>
      <x:c r="R1456"/>
      <x:c r="S1456"/>
      <x:c r="T1456"/>
      <x:c r="U1456"/>
      <x:c r="V1456"/>
      <x:c r="W1456"/>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68">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Community / Curated Mirror,B | Independent Technical Creator,B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 type="list" sqref="B2:B1352">
      <x:formula1>"Interview,Course,Talk"</x:formula1>
    </x:dataValidation>
    <x:dataValidation type="list" sqref="C2:C1352">
      <x:formula1>"World Model,Agent,Vision,Robotics,Other,How to Research"</x:formula1>
    </x:dataValidation>
    <x:dataValidation type="list" sqref="F2:F1352">
      <x:formula1>"English,Chinese"</x:formula1>
    </x:dataValidation>
    <x:dataValidation type="list" sqref="M2:M1352">
      <x:formula1>"YouTube,Bilibili,Conference Site,Official Site"</x:formula1>
    </x:dataValidation>
    <x:dataValidation type="list" sqref="O2:O1352">
      <x:formula1>"A | Official / Original Creator / Organizer,B | University / Conference / Institution,C | Community Selection,B | Independent Technical Creator,B | Community / Curated Mirror"</x:formula1>
    </x:dataValidation>
    <x:dataValidation type="list" sqref="P2:P1352">
      <x:formula1>"Core,Recommended,Reserve"</x:formula1>
    </x:dataValidation>
    <x:dataValidation type="list" sqref="Q2:Q1352">
      <x:formula1>"Verified,Pending Verification,Periodic Review,Inactive"</x:formula1>
    </x:dataValidation>
    <x:dataValidation type="list" sqref="B2:B1402">
      <x:formula1>"Interview,Course,Talk"</x:formula1>
    </x:dataValidation>
    <x:dataValidation type="list" sqref="C2:C1402">
      <x:formula1>"World Model,Agent,Vision,Robotics,Other,How to Research"</x:formula1>
    </x:dataValidation>
    <x:dataValidation type="list" sqref="F2:F1402">
      <x:formula1>"English,Chinese"</x:formula1>
    </x:dataValidation>
    <x:dataValidation type="list" sqref="M2:M1402">
      <x:formula1>"YouTube,Bilibili,Conference Site,Official Site"</x:formula1>
    </x:dataValidation>
    <x:dataValidation type="list" sqref="O2:O1402">
      <x:formula1>"A | Official / Original Creator / Organizer,B | University / Conference / Institution,C | Community Selection,B | Independent Technical Creator,B | Community / Curated Mirror"</x:formula1>
    </x:dataValidation>
    <x:dataValidation type="list" sqref="P2:P1402">
      <x:formula1>"Core,Recommended,Reserve"</x:formula1>
    </x:dataValidation>
    <x:dataValidation type="list" sqref="Q2:Q1402">
      <x:formula1>"Verified,Pending Verification,Periodic Review,Inactive"</x:formula1>
    </x:dataValidation>
  </x:dataValidations>
  <x:pageMargins left="0.7" right="0.7" top="0.75" bottom="0.75" header="0.3" footer="0.3"/>
  <x:tableParts count="1">
    <x:tablePart xmlns:r="http://schemas.openxmlformats.org/officeDocument/2006/relationships" r:id="R11e1ef635e7e486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COUNTIF('Resources'!$C$2:$C$1402,$A5)</x:f>
        <x:v>144</x:v>
      </x:c>
      <x:c r="C5" s="60" t="n">
        <x:f>COUNTIFS('Resources'!$C$2:$C$1402,$A5,'Resources'!$B$2:$B$1402,C$4)</x:f>
        <x:v>35</x:v>
      </x:c>
      <x:c r="D5" s="60" t="n">
        <x:f>COUNTIFS('Resources'!$C$2:$C$1402,$A5,'Resources'!$B$2:$B$1402,D$4)</x:f>
        <x:v>40</x:v>
      </x:c>
      <x:c r="E5" s="60" t="n">
        <x:f>COUNTIFS('Resources'!$C$2:$C$1402,$A5,'Resources'!$B$2:$B$1402,E$4)</x:f>
        <x:v>69</x:v>
      </x:c>
      <x:c r="F5" s="60" t="n">
        <x:f>COUNTIFS('Resources'!$C$2:$C$1402,$A5,'Resources'!$M$2:$M$1402,F$4)</x:f>
        <x:v>102</x:v>
      </x:c>
      <x:c r="G5" s="60" t="n">
        <x:f>COUNTIFS('Resources'!$C$2:$C$1402,$A5,'Resources'!$M$2:$M$1402,G$4)</x:f>
        <x:v>38</x:v>
      </x:c>
      <x:c r="H5" s="61" t="n">
        <x:f>COUNTIFS('Resources'!$C$2:$C$1402,$A5,'Resources'!$M$2:$M$1402,H$4)</x:f>
        <x:v>4</x:v>
      </x:c>
      <x:c r="I5" s="427" t="n">
        <x:f>COUNTIFS('Resources'!$C$2:$C$1402,$A5,'Resources'!$M$2:$M$1402,I$4)</x:f>
        <x:v>0</x:v>
      </x:c>
    </x:row>
    <x:row r="6" ht="34" customHeight="1">
      <x:c r="A6" s="67" t="str">
        <x:v>Agent</x:v>
      </x:c>
      <x:c r="B6" s="62" t="n">
        <x:f>COUNTIF('Resources'!$C$2:$C$1402,$A6)</x:f>
        <x:v>295</x:v>
      </x:c>
      <x:c r="C6" s="62" t="n">
        <x:f>COUNTIFS('Resources'!$C$2:$C$1402,$A6,'Resources'!$B$2:$B$1402,C$4)</x:f>
        <x:v>67</x:v>
      </x:c>
      <x:c r="D6" s="62" t="n">
        <x:f>COUNTIFS('Resources'!$C$2:$C$1402,$A6,'Resources'!$B$2:$B$1402,D$4)</x:f>
        <x:v>147</x:v>
      </x:c>
      <x:c r="E6" s="62" t="n">
        <x:f>COUNTIFS('Resources'!$C$2:$C$1402,$A6,'Resources'!$B$2:$B$1402,E$4)</x:f>
        <x:v>81</x:v>
      </x:c>
      <x:c r="F6" s="62" t="n">
        <x:f>COUNTIFS('Resources'!$C$2:$C$1402,$A6,'Resources'!$M$2:$M$1402,F$4)</x:f>
        <x:v>202</x:v>
      </x:c>
      <x:c r="G6" s="62" t="n">
        <x:f>COUNTIFS('Resources'!$C$2:$C$1402,$A6,'Resources'!$M$2:$M$1402,G$4)</x:f>
        <x:v>85</x:v>
      </x:c>
      <x:c r="H6" s="63" t="n">
        <x:f>COUNTIFS('Resources'!$C$2:$C$1402,$A6,'Resources'!$M$2:$M$1402,H$4)</x:f>
        <x:v>8</x:v>
      </x:c>
      <x:c r="I6" s="428" t="n">
        <x:f>COUNTIFS('Resources'!$C$2:$C$1402,$A6,'Resources'!$M$2:$M$1402,I$4)</x:f>
        <x:v>0</x:v>
      </x:c>
    </x:row>
    <x:row r="7" ht="34" customHeight="1">
      <x:c r="A7" s="68" t="str">
        <x:v>Vision</x:v>
      </x:c>
      <x:c r="B7" s="62" t="n">
        <x:f>COUNTIF('Resources'!$C$2:$C$1402,$A7)</x:f>
        <x:v>157</x:v>
      </x:c>
      <x:c r="C7" s="62" t="n">
        <x:f>COUNTIFS('Resources'!$C$2:$C$1402,$A7,'Resources'!$B$2:$B$1402,C$4)</x:f>
        <x:v>16</x:v>
      </x:c>
      <x:c r="D7" s="62" t="n">
        <x:f>COUNTIFS('Resources'!$C$2:$C$1402,$A7,'Resources'!$B$2:$B$1402,D$4)</x:f>
        <x:v>83</x:v>
      </x:c>
      <x:c r="E7" s="62" t="n">
        <x:f>COUNTIFS('Resources'!$C$2:$C$1402,$A7,'Resources'!$B$2:$B$1402,E$4)</x:f>
        <x:v>58</x:v>
      </x:c>
      <x:c r="F7" s="62" t="n">
        <x:f>COUNTIFS('Resources'!$C$2:$C$1402,$A7,'Resources'!$M$2:$M$1402,F$4)</x:f>
        <x:v>101</x:v>
      </x:c>
      <x:c r="G7" s="62" t="n">
        <x:f>COUNTIFS('Resources'!$C$2:$C$1402,$A7,'Resources'!$M$2:$M$1402,G$4)</x:f>
        <x:v>47</x:v>
      </x:c>
      <x:c r="H7" s="63" t="n">
        <x:f>COUNTIFS('Resources'!$C$2:$C$1402,$A7,'Resources'!$M$2:$M$1402,H$4)</x:f>
        <x:v>9</x:v>
      </x:c>
      <x:c r="I7" s="427" t="n">
        <x:f>COUNTIFS('Resources'!$C$2:$C$1402,$A7,'Resources'!$M$2:$M$1402,I$4)</x:f>
        <x:v>0</x:v>
      </x:c>
    </x:row>
    <x:row r="8" ht="34" customHeight="1">
      <x:c r="A8" s="69" t="str">
        <x:v>Robotics</x:v>
      </x:c>
      <x:c r="B8" s="62" t="n">
        <x:f>COUNTIF('Resources'!$C$2:$C$1402,$A8)</x:f>
        <x:v>237</x:v>
      </x:c>
      <x:c r="C8" s="62" t="n">
        <x:f>COUNTIFS('Resources'!$C$2:$C$1402,$A8,'Resources'!$B$2:$B$1402,C$4)</x:f>
        <x:v>59</x:v>
      </x:c>
      <x:c r="D8" s="62" t="n">
        <x:f>COUNTIFS('Resources'!$C$2:$C$1402,$A8,'Resources'!$B$2:$B$1402,D$4)</x:f>
        <x:v>93</x:v>
      </x:c>
      <x:c r="E8" s="62" t="n">
        <x:f>COUNTIFS('Resources'!$C$2:$C$1402,$A8,'Resources'!$B$2:$B$1402,E$4)</x:f>
        <x:v>85</x:v>
      </x:c>
      <x:c r="F8" s="62" t="n">
        <x:f>COUNTIFS('Resources'!$C$2:$C$1402,$A8,'Resources'!$M$2:$M$1402,F$4)</x:f>
        <x:v>170</x:v>
      </x:c>
      <x:c r="G8" s="62" t="n">
        <x:f>COUNTIFS('Resources'!$C$2:$C$1402,$A8,'Resources'!$M$2:$M$1402,G$4)</x:f>
        <x:v>61</x:v>
      </x:c>
      <x:c r="H8" s="63" t="n">
        <x:f>COUNTIFS('Resources'!$C$2:$C$1402,$A8,'Resources'!$M$2:$M$1402,H$4)</x:f>
        <x:v>6</x:v>
      </x:c>
      <x:c r="I8" s="428" t="n">
        <x:f>COUNTIFS('Resources'!$C$2:$C$1402,$A8,'Resources'!$M$2:$M$1402,I$4)</x:f>
        <x:v>0</x:v>
      </x:c>
    </x:row>
    <x:row r="9" ht="34" customHeight="1">
      <x:c r="A9" s="70" t="str">
        <x:v>Other</x:v>
      </x:c>
      <x:c r="B9" s="64" t="n">
        <x:f>COUNTIF('Resources'!$C$2:$C$1402,$A9)</x:f>
        <x:v>498</x:v>
      </x:c>
      <x:c r="C9" s="64" t="n">
        <x:f>COUNTIFS('Resources'!$C$2:$C$1402,$A9,'Resources'!$B$2:$B$1402,C$4)</x:f>
        <x:v>97</x:v>
      </x:c>
      <x:c r="D9" s="64" t="n">
        <x:f>COUNTIFS('Resources'!$C$2:$C$1402,$A9,'Resources'!$B$2:$B$1402,D$4)</x:f>
        <x:v>279</x:v>
      </x:c>
      <x:c r="E9" s="64" t="n">
        <x:f>COUNTIFS('Resources'!$C$2:$C$1402,$A9,'Resources'!$B$2:$B$1402,E$4)</x:f>
        <x:v>122</x:v>
      </x:c>
      <x:c r="F9" s="64" t="n">
        <x:f>COUNTIFS('Resources'!$C$2:$C$1402,$A9,'Resources'!$M$2:$M$1402,F$4)</x:f>
        <x:v>428</x:v>
      </x:c>
      <x:c r="G9" s="64" t="n">
        <x:f>COUNTIFS('Resources'!$C$2:$C$1402,$A9,'Resources'!$M$2:$M$1402,G$4)</x:f>
        <x:v>10</x:v>
      </x:c>
      <x:c r="H9" s="65" t="n">
        <x:f>COUNTIFS('Resources'!$C$2:$C$1402,$A9,'Resources'!$M$2:$M$1402,H$4)</x:f>
        <x:v>54</x:v>
      </x:c>
      <x:c r="I9" s="427" t="n">
        <x:f>COUNTIFS('Resources'!$C$2:$C$1402,$A9,'Resources'!$M$2:$M$1402,I$4)</x:f>
        <x:v>6</x:v>
      </x:c>
    </x:row>
    <x:row r="10">
      <x:c r="A10" s="421" t="str">
        <x:v>How to Research</x:v>
      </x:c>
      <x:c r="B10" s="422" t="n">
        <x:f>COUNTIF('Resources'!$C$2:$C$1402,$A10)</x:f>
        <x:v>70</x:v>
      </x:c>
      <x:c r="C10" s="422" t="n">
        <x:f>COUNTIFS('Resources'!$C$2:$C$1402,$A10,'Resources'!$B$2:$B$1402,C$4)</x:f>
        <x:v>3</x:v>
      </x:c>
      <x:c r="D10" s="422" t="n">
        <x:f>COUNTIFS('Resources'!$C$2:$C$1402,$A10,'Resources'!$B$2:$B$1402,D$4)</x:f>
        <x:v>53</x:v>
      </x:c>
      <x:c r="E10" s="422" t="n">
        <x:f>COUNTIFS('Resources'!$C$2:$C$1402,$A10,'Resources'!$B$2:$B$1402,E$4)</x:f>
        <x:v>14</x:v>
      </x:c>
      <x:c r="F10" s="422" t="n">
        <x:f>COUNTIFS('Resources'!$C$2:$C$1402,$A10,'Resources'!$M$2:$M$1402,F$4)</x:f>
        <x:v>52</x:v>
      </x:c>
      <x:c r="G10" s="422" t="n">
        <x:f>COUNTIFS('Resources'!$C$2:$C$1402,$A10,'Resources'!$M$2:$M$1402,G$4)</x:f>
        <x:v>8</x:v>
      </x:c>
      <x:c r="H10" s="422" t="n">
        <x:f>COUNTIFS('Resources'!$C$2:$C$1402,$A10,'Resources'!$M$2:$M$1402,H$4)</x:f>
        <x:v>3</x:v>
      </x:c>
      <x:c r="I10" s="423" t="n">
        <x:f>COUNTIFS('Resources'!$C$2:$C$1402,$A10,'Resources'!$M$2:$M$1402,I$4)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1:I12"/>
    <x:mergeCell ref="A1:I1"/>
    <x:mergeCell ref="A2:I2"/>
  </x:mergeCells>
  <x:pageMargins left="0.7" right="0.7" top="0.75" bottom="0.75" header="0.3" footer="0.3"/>
  <x:tableParts count="1">
    <x:tablePart xmlns:r="http://schemas.openxmlformats.org/officeDocument/2006/relationships" r:id="R7442428175064c2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37" t="str">
        <x:v>3D Vision / Generative Models</x:v>
      </x:c>
      <x:c r="B2" s="538" t="n">
        <x:f>COUNTIF('Resources'!$D$2:$D$1402,$A2)</x:f>
        <x:v>1</x:v>
      </x:c>
      <x:c r="C2" s="538" t="n">
        <x:f>COUNTIFS('Resources'!$D$2:$D$1402,$A2,'Resources'!$B$2:$B$1402,C$1)</x:f>
        <x:v>0</x:v>
      </x:c>
      <x:c r="D2" s="538" t="n">
        <x:f>COUNTIFS('Resources'!$D$2:$D$1402,$A2,'Resources'!$B$2:$B$1402,D$1)</x:f>
        <x:v>0</x:v>
      </x:c>
      <x:c r="E2" s="539" t="n">
        <x:f>COUNTIFS('Resources'!$D$2:$D$1402,$A2,'Resources'!$B$2:$B$1402,E$1)</x:f>
        <x:v>1</x:v>
      </x:c>
    </x:row>
    <x:row r="3" ht="22" customHeight="1">
      <x:c r="A3" s="540" t="str">
        <x:v>3D Vision / World Models</x:v>
      </x:c>
      <x:c r="B3" s="541" t="n">
        <x:f>COUNTIF('Resources'!$D$2:$D$1402,$A3)</x:f>
        <x:v>1</x:v>
      </x:c>
      <x:c r="C3" s="541" t="n">
        <x:f>COUNTIFS('Resources'!$D$2:$D$1402,$A3,'Resources'!$B$2:$B$1402,C$1)</x:f>
        <x:v>0</x:v>
      </x:c>
      <x:c r="D3" s="541" t="n">
        <x:f>COUNTIFS('Resources'!$D$2:$D$1402,$A3,'Resources'!$B$2:$B$1402,D$1)</x:f>
        <x:v>0</x:v>
      </x:c>
      <x:c r="E3" s="542" t="n">
        <x:f>COUNTIFS('Resources'!$D$2:$D$1402,$A3,'Resources'!$B$2:$B$1402,E$1)</x:f>
        <x:v>1</x:v>
      </x:c>
    </x:row>
    <x:row r="4" ht="22" customHeight="1">
      <x:c r="A4" s="543" t="str">
        <x:v>Agent / Paper Walkthroughs</x:v>
      </x:c>
      <x:c r="B4" s="544" t="n">
        <x:f>COUNTIF('Resources'!$D$2:$D$1402,$A4)</x:f>
        <x:v>2</x:v>
      </x:c>
      <x:c r="C4" s="544" t="n">
        <x:f>COUNTIFS('Resources'!$D$2:$D$1402,$A4,'Resources'!$B$2:$B$1402,C$1)</x:f>
        <x:v>0</x:v>
      </x:c>
      <x:c r="D4" s="544" t="n">
        <x:f>COUNTIFS('Resources'!$D$2:$D$1402,$A4,'Resources'!$B$2:$B$1402,D$1)</x:f>
        <x:v>2</x:v>
      </x:c>
      <x:c r="E4" s="545" t="n">
        <x:f>COUNTIFS('Resources'!$D$2:$D$1402,$A4,'Resources'!$B$2:$B$1402,E$1)</x:f>
        <x:v>0</x:v>
      </x:c>
    </x:row>
    <x:row r="5" ht="22" customHeight="1">
      <x:c r="A5" s="540" t="str">
        <x:v>Agents / Multi-Turn Reinforcement Learning</x:v>
      </x:c>
      <x:c r="B5" s="541" t="n">
        <x:f>COUNTIF('Resources'!$D$2:$D$1402,$A5)</x:f>
        <x:v>1</x:v>
      </x:c>
      <x:c r="C5" s="541" t="n">
        <x:f>COUNTIFS('Resources'!$D$2:$D$1402,$A5,'Resources'!$B$2:$B$1402,C$1)</x:f>
        <x:v>0</x:v>
      </x:c>
      <x:c r="D5" s="541" t="n">
        <x:f>COUNTIFS('Resources'!$D$2:$D$1402,$A5,'Resources'!$B$2:$B$1402,D$1)</x:f>
        <x:v>0</x:v>
      </x:c>
      <x:c r="E5" s="542" t="n">
        <x:f>COUNTIFS('Resources'!$D$2:$D$1402,$A5,'Resources'!$B$2:$B$1402,E$1)</x:f>
        <x:v>1</x:v>
      </x:c>
    </x:row>
    <x:row r="6" ht="22" customHeight="1">
      <x:c r="A6" s="543" t="str">
        <x:v>Agents / Planning / Reasoning</x:v>
      </x:c>
      <x:c r="B6" s="544" t="n">
        <x:f>COUNTIF('Resources'!$D$2:$D$1402,$A6)</x:f>
        <x:v>1</x:v>
      </x:c>
      <x:c r="C6" s="544" t="n">
        <x:f>COUNTIFS('Resources'!$D$2:$D$1402,$A6,'Resources'!$B$2:$B$1402,C$1)</x:f>
        <x:v>0</x:v>
      </x:c>
      <x:c r="D6" s="544" t="n">
        <x:f>COUNTIFS('Resources'!$D$2:$D$1402,$A6,'Resources'!$B$2:$B$1402,D$1)</x:f>
        <x:v>0</x:v>
      </x:c>
      <x:c r="E6" s="545" t="n">
        <x:f>COUNTIFS('Resources'!$D$2:$D$1402,$A6,'Resources'!$B$2:$B$1402,E$1)</x:f>
        <x:v>1</x:v>
      </x:c>
    </x:row>
    <x:row r="7" ht="22" customHeight="1">
      <x:c r="A7" s="540" t="str">
        <x:v>Agents / Reinforcement Learning</x:v>
      </x:c>
      <x:c r="B7" s="541" t="n">
        <x:f>COUNTIF('Resources'!$D$2:$D$1402,$A7)</x:f>
        <x:v>3</x:v>
      </x:c>
      <x:c r="C7" s="541" t="n">
        <x:f>COUNTIFS('Resources'!$D$2:$D$1402,$A7,'Resources'!$B$2:$B$1402,C$1)</x:f>
        <x:v>0</x:v>
      </x:c>
      <x:c r="D7" s="541" t="n">
        <x:f>COUNTIFS('Resources'!$D$2:$D$1402,$A7,'Resources'!$B$2:$B$1402,D$1)</x:f>
        <x:v>0</x:v>
      </x:c>
      <x:c r="E7" s="542" t="n">
        <x:f>COUNTIFS('Resources'!$D$2:$D$1402,$A7,'Resources'!$B$2:$B$1402,E$1)</x:f>
        <x:v>3</x:v>
      </x:c>
    </x:row>
    <x:row r="8" ht="22" customHeight="1">
      <x:c r="A8" s="543" t="str">
        <x:v>Agents / Tool Use / Reasoning</x:v>
      </x:c>
      <x:c r="B8" s="544" t="n">
        <x:f>COUNTIF('Resources'!$D$2:$D$1402,$A8)</x:f>
        <x:v>190</x:v>
      </x:c>
      <x:c r="C8" s="544" t="n">
        <x:f>COUNTIFS('Resources'!$D$2:$D$1402,$A8,'Resources'!$B$2:$B$1402,C$1)</x:f>
        <x:v>46</x:v>
      </x:c>
      <x:c r="D8" s="544" t="n">
        <x:f>COUNTIFS('Resources'!$D$2:$D$1402,$A8,'Resources'!$B$2:$B$1402,D$1)</x:f>
        <x:v>95</x:v>
      </x:c>
      <x:c r="E8" s="545" t="n">
        <x:f>COUNTIFS('Resources'!$D$2:$D$1402,$A8,'Resources'!$B$2:$B$1402,E$1)</x:f>
        <x:v>49</x:v>
      </x:c>
    </x:row>
    <x:row r="9" ht="22" customHeight="1">
      <x:c r="A9" s="540" t="str">
        <x:v>AI Agents</x:v>
      </x:c>
      <x:c r="B9" s="541" t="n">
        <x:f>COUNTIF('Resources'!$D$2:$D$1402,$A9)</x:f>
        <x:v>1</x:v>
      </x:c>
      <x:c r="C9" s="541" t="n">
        <x:f>COUNTIFS('Resources'!$D$2:$D$1402,$A9,'Resources'!$B$2:$B$1402,C$1)</x:f>
        <x:v>0</x:v>
      </x:c>
      <x:c r="D9" s="541" t="n">
        <x:f>COUNTIFS('Resources'!$D$2:$D$1402,$A9,'Resources'!$B$2:$B$1402,D$1)</x:f>
        <x:v>1</x:v>
      </x:c>
      <x:c r="E9" s="542" t="n">
        <x:f>COUNTIFS('Resources'!$D$2:$D$1402,$A9,'Resources'!$B$2:$B$1402,E$1)</x:f>
        <x:v>0</x:v>
      </x:c>
    </x:row>
    <x:row r="10" ht="22" customHeight="1">
      <x:c r="A10" s="543" t="str">
        <x:v>AI Agents / Agent Engineering</x:v>
      </x:c>
      <x:c r="B10" s="544" t="n">
        <x:f>COUNTIF('Resources'!$D$2:$D$1402,$A10)</x:f>
        <x:v>1</x:v>
      </x:c>
      <x:c r="C10" s="544" t="n">
        <x:f>COUNTIFS('Resources'!$D$2:$D$1402,$A10,'Resources'!$B$2:$B$1402,C$1)</x:f>
        <x:v>0</x:v>
      </x:c>
      <x:c r="D10" s="544" t="n">
        <x:f>COUNTIFS('Resources'!$D$2:$D$1402,$A10,'Resources'!$B$2:$B$1402,D$1)</x:f>
        <x:v>1</x:v>
      </x:c>
      <x:c r="E10" s="545" t="n">
        <x:f>COUNTIFS('Resources'!$D$2:$D$1402,$A10,'Resources'!$B$2:$B$1402,E$1)</x:f>
        <x:v>0</x:v>
      </x:c>
    </x:row>
    <x:row r="11" ht="22" customHeight="1">
      <x:c r="A11" s="540" t="str">
        <x:v>AI Agents / Agent Operating Systems</x:v>
      </x:c>
      <x:c r="B11" s="541" t="n">
        <x:f>COUNTIF('Resources'!$D$2:$D$1402,$A11)</x:f>
        <x:v>2</x:v>
      </x:c>
      <x:c r="C11" s="541" t="n">
        <x:f>COUNTIFS('Resources'!$D$2:$D$1402,$A11,'Resources'!$B$2:$B$1402,C$1)</x:f>
        <x:v>0</x:v>
      </x:c>
      <x:c r="D11" s="541" t="n">
        <x:f>COUNTIFS('Resources'!$D$2:$D$1402,$A11,'Resources'!$B$2:$B$1402,D$1)</x:f>
        <x:v>2</x:v>
      </x:c>
      <x:c r="E11" s="542" t="n">
        <x:f>COUNTIFS('Resources'!$D$2:$D$1402,$A11,'Resources'!$B$2:$B$1402,E$1)</x:f>
        <x:v>0</x:v>
      </x:c>
    </x:row>
    <x:row r="12" ht="22" customHeight="1">
      <x:c r="A12" s="543" t="str">
        <x:v>AI Agents / AI for Science</x:v>
      </x:c>
      <x:c r="B12" s="544" t="n">
        <x:f>COUNTIF('Resources'!$D$2:$D$1402,$A12)</x:f>
        <x:v>2</x:v>
      </x:c>
      <x:c r="C12" s="544" t="n">
        <x:f>COUNTIFS('Resources'!$D$2:$D$1402,$A12,'Resources'!$B$2:$B$1402,C$1)</x:f>
        <x:v>1</x:v>
      </x:c>
      <x:c r="D12" s="544" t="n">
        <x:f>COUNTIFS('Resources'!$D$2:$D$1402,$A12,'Resources'!$B$2:$B$1402,D$1)</x:f>
        <x:v>0</x:v>
      </x:c>
      <x:c r="E12" s="545" t="n">
        <x:f>COUNTIFS('Resources'!$D$2:$D$1402,$A12,'Resources'!$B$2:$B$1402,E$1)</x:f>
        <x:v>1</x:v>
      </x:c>
    </x:row>
    <x:row r="13" ht="22" customHeight="1">
      <x:c r="A13" s="540" t="str">
        <x:v>AI Agents / Autonomous Engineering</x:v>
      </x:c>
      <x:c r="B13" s="541" t="n">
        <x:f>COUNTIF('Resources'!$D$2:$D$1402,$A13)</x:f>
        <x:v>1</x:v>
      </x:c>
      <x:c r="C13" s="541" t="n">
        <x:f>COUNTIFS('Resources'!$D$2:$D$1402,$A13,'Resources'!$B$2:$B$1402,C$1)</x:f>
        <x:v>1</x:v>
      </x:c>
      <x:c r="D13" s="541" t="n">
        <x:f>COUNTIFS('Resources'!$D$2:$D$1402,$A13,'Resources'!$B$2:$B$1402,D$1)</x:f>
        <x:v>0</x:v>
      </x:c>
      <x:c r="E13" s="542" t="n">
        <x:f>COUNTIFS('Resources'!$D$2:$D$1402,$A13,'Resources'!$B$2:$B$1402,E$1)</x:f>
        <x:v>0</x:v>
      </x:c>
    </x:row>
    <x:row r="14" ht="22" customHeight="1">
      <x:c r="A14" s="543" t="str">
        <x:v>AI Agents / Business Automation</x:v>
      </x:c>
      <x:c r="B14" s="544" t="n">
        <x:f>COUNTIF('Resources'!$D$2:$D$1402,$A14)</x:f>
        <x:v>1</x:v>
      </x:c>
      <x:c r="C14" s="544" t="n">
        <x:f>COUNTIFS('Resources'!$D$2:$D$1402,$A14,'Resources'!$B$2:$B$1402,C$1)</x:f>
        <x:v>0</x:v>
      </x:c>
      <x:c r="D14" s="544" t="n">
        <x:f>COUNTIFS('Resources'!$D$2:$D$1402,$A14,'Resources'!$B$2:$B$1402,D$1)</x:f>
        <x:v>1</x:v>
      </x:c>
      <x:c r="E14" s="545" t="n">
        <x:f>COUNTIFS('Resources'!$D$2:$D$1402,$A14,'Resources'!$B$2:$B$1402,E$1)</x:f>
        <x:v>0</x:v>
      </x:c>
    </x:row>
    <x:row r="15" ht="22" customHeight="1">
      <x:c r="A15" s="540" t="str">
        <x:v>AI Agents / Coding Workflows</x:v>
      </x:c>
      <x:c r="B15" s="541" t="n">
        <x:f>COUNTIF('Resources'!$D$2:$D$1402,$A15)</x:f>
        <x:v>1</x:v>
      </x:c>
      <x:c r="C15" s="541" t="n">
        <x:f>COUNTIFS('Resources'!$D$2:$D$1402,$A15,'Resources'!$B$2:$B$1402,C$1)</x:f>
        <x:v>0</x:v>
      </x:c>
      <x:c r="D15" s="541" t="n">
        <x:f>COUNTIFS('Resources'!$D$2:$D$1402,$A15,'Resources'!$B$2:$B$1402,D$1)</x:f>
        <x:v>1</x:v>
      </x:c>
      <x:c r="E15" s="542" t="n">
        <x:f>COUNTIFS('Resources'!$D$2:$D$1402,$A15,'Resources'!$B$2:$B$1402,E$1)</x:f>
        <x:v>0</x:v>
      </x:c>
    </x:row>
    <x:row r="16" ht="22" customHeight="1">
      <x:c r="A16" s="543" t="str">
        <x:v>AI Agents / Computer Use</x:v>
      </x:c>
      <x:c r="B16" s="544" t="n">
        <x:f>COUNTIF('Resources'!$D$2:$D$1402,$A16)</x:f>
        <x:v>2</x:v>
      </x:c>
      <x:c r="C16" s="544" t="n">
        <x:f>COUNTIFS('Resources'!$D$2:$D$1402,$A16,'Resources'!$B$2:$B$1402,C$1)</x:f>
        <x:v>1</x:v>
      </x:c>
      <x:c r="D16" s="544" t="n">
        <x:f>COUNTIFS('Resources'!$D$2:$D$1402,$A16,'Resources'!$B$2:$B$1402,D$1)</x:f>
        <x:v>0</x:v>
      </x:c>
      <x:c r="E16" s="545" t="n">
        <x:f>COUNTIFS('Resources'!$D$2:$D$1402,$A16,'Resources'!$B$2:$B$1402,E$1)</x:f>
        <x:v>1</x:v>
      </x:c>
    </x:row>
    <x:row r="17" ht="22" customHeight="1">
      <x:c r="A17" s="540" t="str">
        <x:v>AI Agents / Content Automation</x:v>
      </x:c>
      <x:c r="B17" s="541" t="n">
        <x:f>COUNTIF('Resources'!$D$2:$D$1402,$A17)</x:f>
        <x:v>1</x:v>
      </x:c>
      <x:c r="C17" s="541" t="n">
        <x:f>COUNTIFS('Resources'!$D$2:$D$1402,$A17,'Resources'!$B$2:$B$1402,C$1)</x:f>
        <x:v>0</x:v>
      </x:c>
      <x:c r="D17" s="541" t="n">
        <x:f>COUNTIFS('Resources'!$D$2:$D$1402,$A17,'Resources'!$B$2:$B$1402,D$1)</x:f>
        <x:v>1</x:v>
      </x:c>
      <x:c r="E17" s="542" t="n">
        <x:f>COUNTIFS('Resources'!$D$2:$D$1402,$A17,'Resources'!$B$2:$B$1402,E$1)</x:f>
        <x:v>0</x:v>
      </x:c>
    </x:row>
    <x:row r="18" ht="22" customHeight="1">
      <x:c r="A18" s="543" t="str">
        <x:v>AI Agents / Context and Inference</x:v>
      </x:c>
      <x:c r="B18" s="544" t="n">
        <x:f>COUNTIF('Resources'!$D$2:$D$1402,$A18)</x:f>
        <x:v>1</x:v>
      </x:c>
      <x:c r="C18" s="544" t="n">
        <x:f>COUNTIFS('Resources'!$D$2:$D$1402,$A18,'Resources'!$B$2:$B$1402,C$1)</x:f>
        <x:v>0</x:v>
      </x:c>
      <x:c r="D18" s="544" t="n">
        <x:f>COUNTIFS('Resources'!$D$2:$D$1402,$A18,'Resources'!$B$2:$B$1402,D$1)</x:f>
        <x:v>0</x:v>
      </x:c>
      <x:c r="E18" s="545" t="n">
        <x:f>COUNTIFS('Resources'!$D$2:$D$1402,$A18,'Resources'!$B$2:$B$1402,E$1)</x:f>
        <x:v>1</x:v>
      </x:c>
    </x:row>
    <x:row r="19" ht="22" customHeight="1">
      <x:c r="A19" s="540" t="str">
        <x:v>AI Agents / Conversational Systems</x:v>
      </x:c>
      <x:c r="B19" s="541" t="n">
        <x:f>COUNTIF('Resources'!$D$2:$D$1402,$A19)</x:f>
        <x:v>1</x:v>
      </x:c>
      <x:c r="C19" s="541" t="n">
        <x:f>COUNTIFS('Resources'!$D$2:$D$1402,$A19,'Resources'!$B$2:$B$1402,C$1)</x:f>
        <x:v>1</x:v>
      </x:c>
      <x:c r="D19" s="541" t="n">
        <x:f>COUNTIFS('Resources'!$D$2:$D$1402,$A19,'Resources'!$B$2:$B$1402,D$1)</x:f>
        <x:v>0</x:v>
      </x:c>
      <x:c r="E19" s="542" t="n">
        <x:f>COUNTIFS('Resources'!$D$2:$D$1402,$A19,'Resources'!$B$2:$B$1402,E$1)</x:f>
        <x:v>0</x:v>
      </x:c>
    </x:row>
    <x:row r="20" ht="22" customHeight="1">
      <x:c r="A20" s="543" t="str">
        <x:v>AI Agents / Deployment</x:v>
      </x:c>
      <x:c r="B20" s="544" t="n">
        <x:f>COUNTIF('Resources'!$D$2:$D$1402,$A20)</x:f>
        <x:v>1</x:v>
      </x:c>
      <x:c r="C20" s="544" t="n">
        <x:f>COUNTIFS('Resources'!$D$2:$D$1402,$A20,'Resources'!$B$2:$B$1402,C$1)</x:f>
        <x:v>0</x:v>
      </x:c>
      <x:c r="D20" s="544" t="n">
        <x:f>COUNTIFS('Resources'!$D$2:$D$1402,$A20,'Resources'!$B$2:$B$1402,D$1)</x:f>
        <x:v>1</x:v>
      </x:c>
      <x:c r="E20" s="545" t="n">
        <x:f>COUNTIFS('Resources'!$D$2:$D$1402,$A20,'Resources'!$B$2:$B$1402,E$1)</x:f>
        <x:v>0</x:v>
      </x:c>
    </x:row>
    <x:row r="21" ht="22" customHeight="1">
      <x:c r="A21" s="540" t="str">
        <x:v>AI Agents / Development</x:v>
      </x:c>
      <x:c r="B21" s="541" t="n">
        <x:f>COUNTIF('Resources'!$D$2:$D$1402,$A21)</x:f>
        <x:v>2</x:v>
      </x:c>
      <x:c r="C21" s="541" t="n">
        <x:f>COUNTIFS('Resources'!$D$2:$D$1402,$A21,'Resources'!$B$2:$B$1402,C$1)</x:f>
        <x:v>0</x:v>
      </x:c>
      <x:c r="D21" s="541" t="n">
        <x:f>COUNTIFS('Resources'!$D$2:$D$1402,$A21,'Resources'!$B$2:$B$1402,D$1)</x:f>
        <x:v>2</x:v>
      </x:c>
      <x:c r="E21" s="542" t="n">
        <x:f>COUNTIFS('Resources'!$D$2:$D$1402,$A21,'Resources'!$B$2:$B$1402,E$1)</x:f>
        <x:v>0</x:v>
      </x:c>
    </x:row>
    <x:row r="22" ht="22" customHeight="1">
      <x:c r="A22" s="543" t="str">
        <x:v>AI Agents / Education</x:v>
      </x:c>
      <x:c r="B22" s="544" t="n">
        <x:f>COUNTIF('Resources'!$D$2:$D$1402,$A22)</x:f>
        <x:v>4</x:v>
      </x:c>
      <x:c r="C22" s="544" t="n">
        <x:f>COUNTIFS('Resources'!$D$2:$D$1402,$A22,'Resources'!$B$2:$B$1402,C$1)</x:f>
        <x:v>0</x:v>
      </x:c>
      <x:c r="D22" s="544" t="n">
        <x:f>COUNTIFS('Resources'!$D$2:$D$1402,$A22,'Resources'!$B$2:$B$1402,D$1)</x:f>
        <x:v>4</x:v>
      </x:c>
      <x:c r="E22" s="545" t="n">
        <x:f>COUNTIFS('Resources'!$D$2:$D$1402,$A22,'Resources'!$B$2:$B$1402,E$1)</x:f>
        <x:v>0</x:v>
      </x:c>
    </x:row>
    <x:row r="23" ht="22" customHeight="1">
      <x:c r="A23" s="540" t="str">
        <x:v>AI Agents / Enterprise</x:v>
      </x:c>
      <x:c r="B23" s="541" t="n">
        <x:f>COUNTIF('Resources'!$D$2:$D$1402,$A23)</x:f>
        <x:v>1</x:v>
      </x:c>
      <x:c r="C23" s="541" t="n">
        <x:f>COUNTIFS('Resources'!$D$2:$D$1402,$A23,'Resources'!$B$2:$B$1402,C$1)</x:f>
        <x:v>0</x:v>
      </x:c>
      <x:c r="D23" s="541" t="n">
        <x:f>COUNTIFS('Resources'!$D$2:$D$1402,$A23,'Resources'!$B$2:$B$1402,D$1)</x:f>
        <x:v>0</x:v>
      </x:c>
      <x:c r="E23" s="542" t="n">
        <x:f>COUNTIFS('Resources'!$D$2:$D$1402,$A23,'Resources'!$B$2:$B$1402,E$1)</x:f>
        <x:v>1</x:v>
      </x:c>
    </x:row>
    <x:row r="24" ht="22" customHeight="1">
      <x:c r="A24" s="543" t="str">
        <x:v>AI Agents / Fine-Tuning</x:v>
      </x:c>
      <x:c r="B24" s="544" t="n">
        <x:f>COUNTIF('Resources'!$D$2:$D$1402,$A24)</x:f>
        <x:v>1</x:v>
      </x:c>
      <x:c r="C24" s="544" t="n">
        <x:f>COUNTIFS('Resources'!$D$2:$D$1402,$A24,'Resources'!$B$2:$B$1402,C$1)</x:f>
        <x:v>0</x:v>
      </x:c>
      <x:c r="D24" s="544" t="n">
        <x:f>COUNTIFS('Resources'!$D$2:$D$1402,$A24,'Resources'!$B$2:$B$1402,D$1)</x:f>
        <x:v>1</x:v>
      </x:c>
      <x:c r="E24" s="545" t="n">
        <x:f>COUNTIFS('Resources'!$D$2:$D$1402,$A24,'Resources'!$B$2:$B$1402,E$1)</x:f>
        <x:v>0</x:v>
      </x:c>
    </x:row>
    <x:row r="25" ht="22" customHeight="1">
      <x:c r="A25" s="540" t="str">
        <x:v>AI Agents / Frontier Models</x:v>
      </x:c>
      <x:c r="B25" s="541" t="n">
        <x:f>COUNTIF('Resources'!$D$2:$D$1402,$A25)</x:f>
        <x:v>4</x:v>
      </x:c>
      <x:c r="C25" s="541" t="n">
        <x:f>COUNTIFS('Resources'!$D$2:$D$1402,$A25,'Resources'!$B$2:$B$1402,C$1)</x:f>
        <x:v>0</x:v>
      </x:c>
      <x:c r="D25" s="541" t="n">
        <x:f>COUNTIFS('Resources'!$D$2:$D$1402,$A25,'Resources'!$B$2:$B$1402,D$1)</x:f>
        <x:v>0</x:v>
      </x:c>
      <x:c r="E25" s="542" t="n">
        <x:f>COUNTIFS('Resources'!$D$2:$D$1402,$A25,'Resources'!$B$2:$B$1402,E$1)</x:f>
        <x:v>4</x:v>
      </x:c>
    </x:row>
    <x:row r="26" ht="22" customHeight="1">
      <x:c r="A26" s="543" t="str">
        <x:v>AI Agents / Governance</x:v>
      </x:c>
      <x:c r="B26" s="544" t="n">
        <x:f>COUNTIF('Resources'!$D$2:$D$1402,$A26)</x:f>
        <x:v>2</x:v>
      </x:c>
      <x:c r="C26" s="544" t="n">
        <x:f>COUNTIFS('Resources'!$D$2:$D$1402,$A26,'Resources'!$B$2:$B$1402,C$1)</x:f>
        <x:v>0</x:v>
      </x:c>
      <x:c r="D26" s="544" t="n">
        <x:f>COUNTIFS('Resources'!$D$2:$D$1402,$A26,'Resources'!$B$2:$B$1402,D$1)</x:f>
        <x:v>1</x:v>
      </x:c>
      <x:c r="E26" s="545" t="n">
        <x:f>COUNTIFS('Resources'!$D$2:$D$1402,$A26,'Resources'!$B$2:$B$1402,E$1)</x:f>
        <x:v>1</x:v>
      </x:c>
    </x:row>
    <x:row r="27" ht="22" customHeight="1">
      <x:c r="A27" s="540" t="str">
        <x:v>AI Agents / Harness Design</x:v>
      </x:c>
      <x:c r="B27" s="541" t="n">
        <x:f>COUNTIF('Resources'!$D$2:$D$1402,$A27)</x:f>
        <x:v>2</x:v>
      </x:c>
      <x:c r="C27" s="541" t="n">
        <x:f>COUNTIFS('Resources'!$D$2:$D$1402,$A27,'Resources'!$B$2:$B$1402,C$1)</x:f>
        <x:v>1</x:v>
      </x:c>
      <x:c r="D27" s="541" t="n">
        <x:f>COUNTIFS('Resources'!$D$2:$D$1402,$A27,'Resources'!$B$2:$B$1402,D$1)</x:f>
        <x:v>1</x:v>
      </x:c>
      <x:c r="E27" s="542" t="n">
        <x:f>COUNTIFS('Resources'!$D$2:$D$1402,$A27,'Resources'!$B$2:$B$1402,E$1)</x:f>
        <x:v>0</x:v>
      </x:c>
    </x:row>
    <x:row r="28" ht="22" customHeight="1">
      <x:c r="A28" s="543" t="str">
        <x:v>AI Agents / Harness Optimization</x:v>
      </x:c>
      <x:c r="B28" s="544" t="n">
        <x:f>COUNTIF('Resources'!$D$2:$D$1402,$A28)</x:f>
        <x:v>1</x:v>
      </x:c>
      <x:c r="C28" s="544" t="n">
        <x:f>COUNTIFS('Resources'!$D$2:$D$1402,$A28,'Resources'!$B$2:$B$1402,C$1)</x:f>
        <x:v>1</x:v>
      </x:c>
      <x:c r="D28" s="544" t="n">
        <x:f>COUNTIFS('Resources'!$D$2:$D$1402,$A28,'Resources'!$B$2:$B$1402,D$1)</x:f>
        <x:v>0</x:v>
      </x:c>
      <x:c r="E28" s="545" t="n">
        <x:f>COUNTIFS('Resources'!$D$2:$D$1402,$A28,'Resources'!$B$2:$B$1402,E$1)</x:f>
        <x:v>0</x:v>
      </x:c>
    </x:row>
    <x:row r="29" ht="22" customHeight="1">
      <x:c r="A29" s="540" t="str">
        <x:v>AI Agents / Hiring Automation</x:v>
      </x:c>
      <x:c r="B29" s="541" t="n">
        <x:f>COUNTIF('Resources'!$D$2:$D$1402,$A29)</x:f>
        <x:v>1</x:v>
      </x:c>
      <x:c r="C29" s="541" t="n">
        <x:f>COUNTIFS('Resources'!$D$2:$D$1402,$A29,'Resources'!$B$2:$B$1402,C$1)</x:f>
        <x:v>0</x:v>
      </x:c>
      <x:c r="D29" s="541" t="n">
        <x:f>COUNTIFS('Resources'!$D$2:$D$1402,$A29,'Resources'!$B$2:$B$1402,D$1)</x:f>
        <x:v>1</x:v>
      </x:c>
      <x:c r="E29" s="542" t="n">
        <x:f>COUNTIFS('Resources'!$D$2:$D$1402,$A29,'Resources'!$B$2:$B$1402,E$1)</x:f>
        <x:v>0</x:v>
      </x:c>
    </x:row>
    <x:row r="30" ht="22" customHeight="1">
      <x:c r="A30" s="543" t="str">
        <x:v>AI Agents / Labor and Society</x:v>
      </x:c>
      <x:c r="B30" s="544" t="n">
        <x:f>COUNTIF('Resources'!$D$2:$D$1402,$A30)</x:f>
        <x:v>1</x:v>
      </x:c>
      <x:c r="C30" s="544" t="n">
        <x:f>COUNTIFS('Resources'!$D$2:$D$1402,$A30,'Resources'!$B$2:$B$1402,C$1)</x:f>
        <x:v>0</x:v>
      </x:c>
      <x:c r="D30" s="544" t="n">
        <x:f>COUNTIFS('Resources'!$D$2:$D$1402,$A30,'Resources'!$B$2:$B$1402,D$1)</x:f>
        <x:v>0</x:v>
      </x:c>
      <x:c r="E30" s="545" t="n">
        <x:f>COUNTIFS('Resources'!$D$2:$D$1402,$A30,'Resources'!$B$2:$B$1402,E$1)</x:f>
        <x:v>1</x:v>
      </x:c>
    </x:row>
    <x:row r="31" ht="22" customHeight="1">
      <x:c r="A31" s="540" t="str">
        <x:v>AI Agents / Local Coding</x:v>
      </x:c>
      <x:c r="B31" s="541" t="n">
        <x:f>COUNTIF('Resources'!$D$2:$D$1402,$A31)</x:f>
        <x:v>1</x:v>
      </x:c>
      <x:c r="C31" s="541" t="n">
        <x:f>COUNTIFS('Resources'!$D$2:$D$1402,$A31,'Resources'!$B$2:$B$1402,C$1)</x:f>
        <x:v>0</x:v>
      </x:c>
      <x:c r="D31" s="541" t="n">
        <x:f>COUNTIFS('Resources'!$D$2:$D$1402,$A31,'Resources'!$B$2:$B$1402,D$1)</x:f>
        <x:v>1</x:v>
      </x:c>
      <x:c r="E31" s="542" t="n">
        <x:f>COUNTIFS('Resources'!$D$2:$D$1402,$A31,'Resources'!$B$2:$B$1402,E$1)</x:f>
        <x:v>0</x:v>
      </x:c>
    </x:row>
    <x:row r="32" ht="22" customHeight="1">
      <x:c r="A32" s="543" t="str">
        <x:v>AI Agents / Local Deployment</x:v>
      </x:c>
      <x:c r="B32" s="544" t="n">
        <x:f>COUNTIF('Resources'!$D$2:$D$1402,$A32)</x:f>
        <x:v>1</x:v>
      </x:c>
      <x:c r="C32" s="544" t="n">
        <x:f>COUNTIFS('Resources'!$D$2:$D$1402,$A32,'Resources'!$B$2:$B$1402,C$1)</x:f>
        <x:v>0</x:v>
      </x:c>
      <x:c r="D32" s="544" t="n">
        <x:f>COUNTIFS('Resources'!$D$2:$D$1402,$A32,'Resources'!$B$2:$B$1402,D$1)</x:f>
        <x:v>1</x:v>
      </x:c>
      <x:c r="E32" s="545" t="n">
        <x:f>COUNTIFS('Resources'!$D$2:$D$1402,$A32,'Resources'!$B$2:$B$1402,E$1)</x:f>
        <x:v>0</x:v>
      </x:c>
    </x:row>
    <x:row r="33" ht="22" customHeight="1">
      <x:c r="A33" s="540" t="str">
        <x:v>AI Agents / Local Models</x:v>
      </x:c>
      <x:c r="B33" s="541" t="n">
        <x:f>COUNTIF('Resources'!$D$2:$D$1402,$A33)</x:f>
        <x:v>2</x:v>
      </x:c>
      <x:c r="C33" s="541" t="n">
        <x:f>COUNTIFS('Resources'!$D$2:$D$1402,$A33,'Resources'!$B$2:$B$1402,C$1)</x:f>
        <x:v>0</x:v>
      </x:c>
      <x:c r="D33" s="541" t="n">
        <x:f>COUNTIFS('Resources'!$D$2:$D$1402,$A33,'Resources'!$B$2:$B$1402,D$1)</x:f>
        <x:v>2</x:v>
      </x:c>
      <x:c r="E33" s="542" t="n">
        <x:f>COUNTIFS('Resources'!$D$2:$D$1402,$A33,'Resources'!$B$2:$B$1402,E$1)</x:f>
        <x:v>0</x:v>
      </x:c>
    </x:row>
    <x:row r="34" ht="22" customHeight="1">
      <x:c r="A34" s="543" t="str">
        <x:v>AI Agents / MCP Automation</x:v>
      </x:c>
      <x:c r="B34" s="544" t="n">
        <x:f>COUNTIF('Resources'!$D$2:$D$1402,$A34)</x:f>
        <x:v>1</x:v>
      </x:c>
      <x:c r="C34" s="544" t="n">
        <x:f>COUNTIFS('Resources'!$D$2:$D$1402,$A34,'Resources'!$B$2:$B$1402,C$1)</x:f>
        <x:v>0</x:v>
      </x:c>
      <x:c r="D34" s="544" t="n">
        <x:f>COUNTIFS('Resources'!$D$2:$D$1402,$A34,'Resources'!$B$2:$B$1402,D$1)</x:f>
        <x:v>1</x:v>
      </x:c>
      <x:c r="E34" s="545" t="n">
        <x:f>COUNTIFS('Resources'!$D$2:$D$1402,$A34,'Resources'!$B$2:$B$1402,E$1)</x:f>
        <x:v>0</x:v>
      </x:c>
    </x:row>
    <x:row r="35" ht="22" customHeight="1">
      <x:c r="A35" s="540" t="str">
        <x:v>AI Agents / Memory</x:v>
      </x:c>
      <x:c r="B35" s="541" t="n">
        <x:f>COUNTIF('Resources'!$D$2:$D$1402,$A35)</x:f>
        <x:v>1</x:v>
      </x:c>
      <x:c r="C35" s="541" t="n">
        <x:f>COUNTIFS('Resources'!$D$2:$D$1402,$A35,'Resources'!$B$2:$B$1402,C$1)</x:f>
        <x:v>0</x:v>
      </x:c>
      <x:c r="D35" s="541" t="n">
        <x:f>COUNTIFS('Resources'!$D$2:$D$1402,$A35,'Resources'!$B$2:$B$1402,D$1)</x:f>
        <x:v>1</x:v>
      </x:c>
      <x:c r="E35" s="542" t="n">
        <x:f>COUNTIFS('Resources'!$D$2:$D$1402,$A35,'Resources'!$B$2:$B$1402,E$1)</x:f>
        <x:v>0</x:v>
      </x:c>
    </x:row>
    <x:row r="36" ht="22" customHeight="1">
      <x:c r="A36" s="543" t="str">
        <x:v>AI Agents / Middleware</x:v>
      </x:c>
      <x:c r="B36" s="544" t="n">
        <x:f>COUNTIF('Resources'!$D$2:$D$1402,$A36)</x:f>
        <x:v>1</x:v>
      </x:c>
      <x:c r="C36" s="544" t="n">
        <x:f>COUNTIFS('Resources'!$D$2:$D$1402,$A36,'Resources'!$B$2:$B$1402,C$1)</x:f>
        <x:v>0</x:v>
      </x:c>
      <x:c r="D36" s="544" t="n">
        <x:f>COUNTIFS('Resources'!$D$2:$D$1402,$A36,'Resources'!$B$2:$B$1402,D$1)</x:f>
        <x:v>1</x:v>
      </x:c>
      <x:c r="E36" s="545" t="n">
        <x:f>COUNTIFS('Resources'!$D$2:$D$1402,$A36,'Resources'!$B$2:$B$1402,E$1)</x:f>
        <x:v>0</x:v>
      </x:c>
    </x:row>
    <x:row r="37" ht="22" customHeight="1">
      <x:c r="A37" s="540" t="str">
        <x:v>AI Agents / Model Foundations</x:v>
      </x:c>
      <x:c r="B37" s="541" t="n">
        <x:f>COUNTIF('Resources'!$D$2:$D$1402,$A37)</x:f>
        <x:v>1</x:v>
      </x:c>
      <x:c r="C37" s="541" t="n">
        <x:f>COUNTIFS('Resources'!$D$2:$D$1402,$A37,'Resources'!$B$2:$B$1402,C$1)</x:f>
        <x:v>0</x:v>
      </x:c>
      <x:c r="D37" s="541" t="n">
        <x:f>COUNTIFS('Resources'!$D$2:$D$1402,$A37,'Resources'!$B$2:$B$1402,D$1)</x:f>
        <x:v>0</x:v>
      </x:c>
      <x:c r="E37" s="542" t="n">
        <x:f>COUNTIFS('Resources'!$D$2:$D$1402,$A37,'Resources'!$B$2:$B$1402,E$1)</x:f>
        <x:v>1</x:v>
      </x:c>
    </x:row>
    <x:row r="38" ht="22" customHeight="1">
      <x:c r="A38" s="543" t="str">
        <x:v>AI Agents / Model Routing</x:v>
      </x:c>
      <x:c r="B38" s="544" t="n">
        <x:f>COUNTIF('Resources'!$D$2:$D$1402,$A38)</x:f>
        <x:v>1</x:v>
      </x:c>
      <x:c r="C38" s="544" t="n">
        <x:f>COUNTIFS('Resources'!$D$2:$D$1402,$A38,'Resources'!$B$2:$B$1402,C$1)</x:f>
        <x:v>0</x:v>
      </x:c>
      <x:c r="D38" s="544" t="n">
        <x:f>COUNTIFS('Resources'!$D$2:$D$1402,$A38,'Resources'!$B$2:$B$1402,D$1)</x:f>
        <x:v>1</x:v>
      </x:c>
      <x:c r="E38" s="545" t="n">
        <x:f>COUNTIFS('Resources'!$D$2:$D$1402,$A38,'Resources'!$B$2:$B$1402,E$1)</x:f>
        <x:v>0</x:v>
      </x:c>
    </x:row>
    <x:row r="39" ht="22" customHeight="1">
      <x:c r="A39" s="540" t="str">
        <x:v>AI Agents / Multi-Agent Systems</x:v>
      </x:c>
      <x:c r="B39" s="541" t="n">
        <x:f>COUNTIF('Resources'!$D$2:$D$1402,$A39)</x:f>
        <x:v>1</x:v>
      </x:c>
      <x:c r="C39" s="541" t="n">
        <x:f>COUNTIFS('Resources'!$D$2:$D$1402,$A39,'Resources'!$B$2:$B$1402,C$1)</x:f>
        <x:v>0</x:v>
      </x:c>
      <x:c r="D39" s="541" t="n">
        <x:f>COUNTIFS('Resources'!$D$2:$D$1402,$A39,'Resources'!$B$2:$B$1402,D$1)</x:f>
        <x:v>1</x:v>
      </x:c>
      <x:c r="E39" s="542" t="n">
        <x:f>COUNTIFS('Resources'!$D$2:$D$1402,$A39,'Resources'!$B$2:$B$1402,E$1)</x:f>
        <x:v>0</x:v>
      </x:c>
    </x:row>
    <x:row r="40" ht="22" customHeight="1">
      <x:c r="A40" s="543" t="str">
        <x:v>AI Agents / Observability</x:v>
      </x:c>
      <x:c r="B40" s="544" t="n">
        <x:f>COUNTIF('Resources'!$D$2:$D$1402,$A40)</x:f>
        <x:v>1</x:v>
      </x:c>
      <x:c r="C40" s="544" t="n">
        <x:f>COUNTIFS('Resources'!$D$2:$D$1402,$A40,'Resources'!$B$2:$B$1402,C$1)</x:f>
        <x:v>0</x:v>
      </x:c>
      <x:c r="D40" s="544" t="n">
        <x:f>COUNTIFS('Resources'!$D$2:$D$1402,$A40,'Resources'!$B$2:$B$1402,D$1)</x:f>
        <x:v>1</x:v>
      </x:c>
      <x:c r="E40" s="545" t="n">
        <x:f>COUNTIFS('Resources'!$D$2:$D$1402,$A40,'Resources'!$B$2:$B$1402,E$1)</x:f>
        <x:v>0</x:v>
      </x:c>
    </x:row>
    <x:row r="41" ht="22" customHeight="1">
      <x:c r="A41" s="540" t="str">
        <x:v>AI Agents / On-Device Memory</x:v>
      </x:c>
      <x:c r="B41" s="541" t="n">
        <x:f>COUNTIF('Resources'!$D$2:$D$1402,$A41)</x:f>
        <x:v>1</x:v>
      </x:c>
      <x:c r="C41" s="541" t="n">
        <x:f>COUNTIFS('Resources'!$D$2:$D$1402,$A41,'Resources'!$B$2:$B$1402,C$1)</x:f>
        <x:v>0</x:v>
      </x:c>
      <x:c r="D41" s="541" t="n">
        <x:f>COUNTIFS('Resources'!$D$2:$D$1402,$A41,'Resources'!$B$2:$B$1402,D$1)</x:f>
        <x:v>1</x:v>
      </x:c>
      <x:c r="E41" s="542" t="n">
        <x:f>COUNTIFS('Resources'!$D$2:$D$1402,$A41,'Resources'!$B$2:$B$1402,E$1)</x:f>
        <x:v>0</x:v>
      </x:c>
    </x:row>
    <x:row r="42" ht="22" customHeight="1">
      <x:c r="A42" s="543" t="str">
        <x:v>AI Agents / Operating Systems</x:v>
      </x:c>
      <x:c r="B42" s="544" t="n">
        <x:f>COUNTIF('Resources'!$D$2:$D$1402,$A42)</x:f>
        <x:v>1</x:v>
      </x:c>
      <x:c r="C42" s="544" t="n">
        <x:f>COUNTIFS('Resources'!$D$2:$D$1402,$A42,'Resources'!$B$2:$B$1402,C$1)</x:f>
        <x:v>0</x:v>
      </x:c>
      <x:c r="D42" s="544" t="n">
        <x:f>COUNTIFS('Resources'!$D$2:$D$1402,$A42,'Resources'!$B$2:$B$1402,D$1)</x:f>
        <x:v>1</x:v>
      </x:c>
      <x:c r="E42" s="545" t="n">
        <x:f>COUNTIFS('Resources'!$D$2:$D$1402,$A42,'Resources'!$B$2:$B$1402,E$1)</x:f>
        <x:v>0</x:v>
      </x:c>
    </x:row>
    <x:row r="43" ht="22" customHeight="1">
      <x:c r="A43" s="540" t="str">
        <x:v>AI Agents / Persistent Workflows</x:v>
      </x:c>
      <x:c r="B43" s="541" t="n">
        <x:f>COUNTIF('Resources'!$D$2:$D$1402,$A43)</x:f>
        <x:v>1</x:v>
      </x:c>
      <x:c r="C43" s="541" t="n">
        <x:f>COUNTIFS('Resources'!$D$2:$D$1402,$A43,'Resources'!$B$2:$B$1402,C$1)</x:f>
        <x:v>0</x:v>
      </x:c>
      <x:c r="D43" s="541" t="n">
        <x:f>COUNTIFS('Resources'!$D$2:$D$1402,$A43,'Resources'!$B$2:$B$1402,D$1)</x:f>
        <x:v>1</x:v>
      </x:c>
      <x:c r="E43" s="542" t="n">
        <x:f>COUNTIFS('Resources'!$D$2:$D$1402,$A43,'Resources'!$B$2:$B$1402,E$1)</x:f>
        <x:v>0</x:v>
      </x:c>
    </x:row>
    <x:row r="44" ht="22" customHeight="1">
      <x:c r="A44" s="543" t="str">
        <x:v>AI Agents / Personal Knowledge Management</x:v>
      </x:c>
      <x:c r="B44" s="544" t="n">
        <x:f>COUNTIF('Resources'!$D$2:$D$1402,$A44)</x:f>
        <x:v>1</x:v>
      </x:c>
      <x:c r="C44" s="544" t="n">
        <x:f>COUNTIFS('Resources'!$D$2:$D$1402,$A44,'Resources'!$B$2:$B$1402,C$1)</x:f>
        <x:v>0</x:v>
      </x:c>
      <x:c r="D44" s="544" t="n">
        <x:f>COUNTIFS('Resources'!$D$2:$D$1402,$A44,'Resources'!$B$2:$B$1402,D$1)</x:f>
        <x:v>0</x:v>
      </x:c>
      <x:c r="E44" s="545" t="n">
        <x:f>COUNTIFS('Resources'!$D$2:$D$1402,$A44,'Resources'!$B$2:$B$1402,E$1)</x:f>
        <x:v>1</x:v>
      </x:c>
    </x:row>
    <x:row r="45" ht="22" customHeight="1">
      <x:c r="A45" s="540" t="str">
        <x:v>AI Agents / Product Updates</x:v>
      </x:c>
      <x:c r="B45" s="541" t="n">
        <x:f>COUNTIF('Resources'!$D$2:$D$1402,$A45)</x:f>
        <x:v>1</x:v>
      </x:c>
      <x:c r="C45" s="541" t="n">
        <x:f>COUNTIFS('Resources'!$D$2:$D$1402,$A45,'Resources'!$B$2:$B$1402,C$1)</x:f>
        <x:v>0</x:v>
      </x:c>
      <x:c r="D45" s="541" t="n">
        <x:f>COUNTIFS('Resources'!$D$2:$D$1402,$A45,'Resources'!$B$2:$B$1402,D$1)</x:f>
        <x:v>0</x:v>
      </x:c>
      <x:c r="E45" s="542" t="n">
        <x:f>COUNTIFS('Resources'!$D$2:$D$1402,$A45,'Resources'!$B$2:$B$1402,E$1)</x:f>
        <x:v>1</x:v>
      </x:c>
    </x:row>
    <x:row r="46" ht="22" customHeight="1">
      <x:c r="A46" s="543" t="str">
        <x:v>AI Agents / Production Evaluation</x:v>
      </x:c>
      <x:c r="B46" s="544" t="n">
        <x:f>COUNTIF('Resources'!$D$2:$D$1402,$A46)</x:f>
        <x:v>1</x:v>
      </x:c>
      <x:c r="C46" s="544" t="n">
        <x:f>COUNTIFS('Resources'!$D$2:$D$1402,$A46,'Resources'!$B$2:$B$1402,C$1)</x:f>
        <x:v>0</x:v>
      </x:c>
      <x:c r="D46" s="544" t="n">
        <x:f>COUNTIFS('Resources'!$D$2:$D$1402,$A46,'Resources'!$B$2:$B$1402,D$1)</x:f>
        <x:v>0</x:v>
      </x:c>
      <x:c r="E46" s="545" t="n">
        <x:f>COUNTIFS('Resources'!$D$2:$D$1402,$A46,'Resources'!$B$2:$B$1402,E$1)</x:f>
        <x:v>1</x:v>
      </x:c>
    </x:row>
    <x:row r="47" ht="22" customHeight="1">
      <x:c r="A47" s="546" t="str">
        <x:v>AI Agents / Productive Autonomy</x:v>
      </x:c>
      <x:c r="B47" s="547" t="n">
        <x:f>COUNTIF('Resources'!$D$2:$D$1402,$A47)</x:f>
        <x:v>1</x:v>
      </x:c>
      <x:c r="C47" s="547" t="n">
        <x:f>COUNTIFS('Resources'!$D$2:$D$1402,$A47,'Resources'!$B$2:$B$1402,C$1)</x:f>
        <x:v>0</x:v>
      </x:c>
      <x:c r="D47" s="547" t="n">
        <x:f>COUNTIFS('Resources'!$D$2:$D$1402,$A47,'Resources'!$B$2:$B$1402,D$1)</x:f>
        <x:v>0</x:v>
      </x:c>
      <x:c r="E47" s="548" t="n">
        <x:f>COUNTIFS('Resources'!$D$2:$D$1402,$A47,'Resources'!$B$2:$B$1402,E$1)</x:f>
        <x:v>1</x:v>
      </x:c>
    </x:row>
    <x:row r="48" ht="22" customHeight="1">
      <x:c r="A48" s="549" t="str">
        <x:v>AI Agents / Protocols</x:v>
      </x:c>
      <x:c r="B48" s="550" t="n">
        <x:f>COUNTIF('Resources'!$D$2:$D$1402,$A48)</x:f>
        <x:v>3</x:v>
      </x:c>
      <x:c r="C48" s="550" t="n">
        <x:f>COUNTIFS('Resources'!$D$2:$D$1402,$A48,'Resources'!$B$2:$B$1402,C$1)</x:f>
        <x:v>0</x:v>
      </x:c>
      <x:c r="D48" s="550" t="n">
        <x:f>COUNTIFS('Resources'!$D$2:$D$1402,$A48,'Resources'!$B$2:$B$1402,D$1)</x:f>
        <x:v>3</x:v>
      </x:c>
      <x:c r="E48" s="550" t="n">
        <x:f>COUNTIFS('Resources'!$D$2:$D$1402,$A48,'Resources'!$B$2:$B$1402,E$1)</x:f>
        <x:v>0</x:v>
      </x:c>
    </x:row>
    <x:row r="49" ht="22" customHeight="1">
      <x:c r="A49" s="551" t="str">
        <x:v>AI Agents / Reinforcement Learning</x:v>
      </x:c>
      <x:c r="B49" s="552" t="n">
        <x:f>COUNTIF('Resources'!$D$2:$D$1402,$A49)</x:f>
        <x:v>1</x:v>
      </x:c>
      <x:c r="C49" s="552" t="n">
        <x:f>COUNTIFS('Resources'!$D$2:$D$1402,$A49,'Resources'!$B$2:$B$1402,C$1)</x:f>
        <x:v>0</x:v>
      </x:c>
      <x:c r="D49" s="552" t="n">
        <x:f>COUNTIFS('Resources'!$D$2:$D$1402,$A49,'Resources'!$B$2:$B$1402,D$1)</x:f>
        <x:v>1</x:v>
      </x:c>
      <x:c r="E49" s="552" t="n">
        <x:f>COUNTIFS('Resources'!$D$2:$D$1402,$A49,'Resources'!$B$2:$B$1402,E$1)</x:f>
        <x:v>0</x:v>
      </x:c>
    </x:row>
    <x:row r="50" ht="22" customHeight="1">
      <x:c r="A50" s="549" t="str">
        <x:v>AI Agents / Retrieval</x:v>
      </x:c>
      <x:c r="B50" s="550" t="n">
        <x:f>COUNTIF('Resources'!$D$2:$D$1402,$A50)</x:f>
        <x:v>1</x:v>
      </x:c>
      <x:c r="C50" s="550" t="n">
        <x:f>COUNTIFS('Resources'!$D$2:$D$1402,$A50,'Resources'!$B$2:$B$1402,C$1)</x:f>
        <x:v>0</x:v>
      </x:c>
      <x:c r="D50" s="550" t="n">
        <x:f>COUNTIFS('Resources'!$D$2:$D$1402,$A50,'Resources'!$B$2:$B$1402,D$1)</x:f>
        <x:v>0</x:v>
      </x:c>
      <x:c r="E50" s="550" t="n">
        <x:f>COUNTIFS('Resources'!$D$2:$D$1402,$A50,'Resources'!$B$2:$B$1402,E$1)</x:f>
        <x:v>1</x:v>
      </x:c>
    </x:row>
    <x:row r="51" ht="22" customHeight="1">
      <x:c r="A51" s="551" t="str">
        <x:v>AI Agents / Safety</x:v>
      </x:c>
      <x:c r="B51" s="552" t="n">
        <x:f>COUNTIF('Resources'!$D$2:$D$1402,$A51)</x:f>
        <x:v>2</x:v>
      </x:c>
      <x:c r="C51" s="552" t="n">
        <x:f>COUNTIFS('Resources'!$D$2:$D$1402,$A51,'Resources'!$B$2:$B$1402,C$1)</x:f>
        <x:v>1</x:v>
      </x:c>
      <x:c r="D51" s="552" t="n">
        <x:f>COUNTIFS('Resources'!$D$2:$D$1402,$A51,'Resources'!$B$2:$B$1402,D$1)</x:f>
        <x:v>0</x:v>
      </x:c>
      <x:c r="E51" s="552" t="n">
        <x:f>COUNTIFS('Resources'!$D$2:$D$1402,$A51,'Resources'!$B$2:$B$1402,E$1)</x:f>
        <x:v>1</x:v>
      </x:c>
    </x:row>
    <x:row r="52" ht="22" customHeight="1">
      <x:c r="A52" s="549" t="str">
        <x:v>AI Agents / Scheduling</x:v>
      </x:c>
      <x:c r="B52" s="550" t="n">
        <x:f>COUNTIF('Resources'!$D$2:$D$1402,$A52)</x:f>
        <x:v>1</x:v>
      </x:c>
      <x:c r="C52" s="550" t="n">
        <x:f>COUNTIFS('Resources'!$D$2:$D$1402,$A52,'Resources'!$B$2:$B$1402,C$1)</x:f>
        <x:v>0</x:v>
      </x:c>
      <x:c r="D52" s="550" t="n">
        <x:f>COUNTIFS('Resources'!$D$2:$D$1402,$A52,'Resources'!$B$2:$B$1402,D$1)</x:f>
        <x:v>1</x:v>
      </x:c>
      <x:c r="E52" s="550" t="n">
        <x:f>COUNTIFS('Resources'!$D$2:$D$1402,$A52,'Resources'!$B$2:$B$1402,E$1)</x:f>
        <x:v>0</x:v>
      </x:c>
    </x:row>
    <x:row r="53" ht="22" customHeight="1">
      <x:c r="A53" s="551" t="str">
        <x:v>AI Agents / Scientific Discovery</x:v>
      </x:c>
      <x:c r="B53" s="552" t="n">
        <x:f>COUNTIF('Resources'!$D$2:$D$1402,$A53)</x:f>
        <x:v>1</x:v>
      </x:c>
      <x:c r="C53" s="552" t="n">
        <x:f>COUNTIFS('Resources'!$D$2:$D$1402,$A53,'Resources'!$B$2:$B$1402,C$1)</x:f>
        <x:v>1</x:v>
      </x:c>
      <x:c r="D53" s="552" t="n">
        <x:f>COUNTIFS('Resources'!$D$2:$D$1402,$A53,'Resources'!$B$2:$B$1402,D$1)</x:f>
        <x:v>0</x:v>
      </x:c>
      <x:c r="E53" s="552" t="n">
        <x:f>COUNTIFS('Resources'!$D$2:$D$1402,$A53,'Resources'!$B$2:$B$1402,E$1)</x:f>
        <x:v>0</x:v>
      </x:c>
    </x:row>
    <x:row r="54" ht="22" customHeight="1">
      <x:c r="A54" s="549" t="str">
        <x:v>AI Agents / Security and Governance</x:v>
      </x:c>
      <x:c r="B54" s="550" t="n">
        <x:f>COUNTIF('Resources'!$D$2:$D$1402,$A54)</x:f>
        <x:v>1</x:v>
      </x:c>
      <x:c r="C54" s="550" t="n">
        <x:f>COUNTIFS('Resources'!$D$2:$D$1402,$A54,'Resources'!$B$2:$B$1402,C$1)</x:f>
        <x:v>0</x:v>
      </x:c>
      <x:c r="D54" s="550" t="n">
        <x:f>COUNTIFS('Resources'!$D$2:$D$1402,$A54,'Resources'!$B$2:$B$1402,D$1)</x:f>
        <x:v>1</x:v>
      </x:c>
      <x:c r="E54" s="550" t="n">
        <x:f>COUNTIFS('Resources'!$D$2:$D$1402,$A54,'Resources'!$B$2:$B$1402,E$1)</x:f>
        <x:v>0</x:v>
      </x:c>
    </x:row>
    <x:row r="55" ht="22" customHeight="1">
      <x:c r="A55" s="551" t="str">
        <x:v>AI Agents / Security and Interoperability</x:v>
      </x:c>
      <x:c r="B55" s="552" t="n">
        <x:f>COUNTIF('Resources'!$D$2:$D$1402,$A55)</x:f>
        <x:v>1</x:v>
      </x:c>
      <x:c r="C55" s="552" t="n">
        <x:f>COUNTIFS('Resources'!$D$2:$D$1402,$A55,'Resources'!$B$2:$B$1402,C$1)</x:f>
        <x:v>0</x:v>
      </x:c>
      <x:c r="D55" s="552" t="n">
        <x:f>COUNTIFS('Resources'!$D$2:$D$1402,$A55,'Resources'!$B$2:$B$1402,D$1)</x:f>
        <x:v>0</x:v>
      </x:c>
      <x:c r="E55" s="552" t="n">
        <x:f>COUNTIFS('Resources'!$D$2:$D$1402,$A55,'Resources'!$B$2:$B$1402,E$1)</x:f>
        <x:v>1</x:v>
      </x:c>
    </x:row>
    <x:row r="56" ht="22" customHeight="1">
      <x:c r="A56" s="549" t="str">
        <x:v>AI Agents / Small Models</x:v>
      </x:c>
      <x:c r="B56" s="550" t="n">
        <x:f>COUNTIF('Resources'!$D$2:$D$1402,$A56)</x:f>
        <x:v>1</x:v>
      </x:c>
      <x:c r="C56" s="550" t="n">
        <x:f>COUNTIFS('Resources'!$D$2:$D$1402,$A56,'Resources'!$B$2:$B$1402,C$1)</x:f>
        <x:v>0</x:v>
      </x:c>
      <x:c r="D56" s="550" t="n">
        <x:f>COUNTIFS('Resources'!$D$2:$D$1402,$A56,'Resources'!$B$2:$B$1402,D$1)</x:f>
        <x:v>1</x:v>
      </x:c>
      <x:c r="E56" s="550" t="n">
        <x:f>COUNTIFS('Resources'!$D$2:$D$1402,$A56,'Resources'!$B$2:$B$1402,E$1)</x:f>
        <x:v>0</x:v>
      </x:c>
    </x:row>
    <x:row r="57" ht="22" customHeight="1">
      <x:c r="A57" s="551" t="str">
        <x:v>AI Agents / Software Engineering</x:v>
      </x:c>
      <x:c r="B57" s="552" t="n">
        <x:f>COUNTIF('Resources'!$D$2:$D$1402,$A57)</x:f>
        <x:v>2</x:v>
      </x:c>
      <x:c r="C57" s="552" t="n">
        <x:f>COUNTIFS('Resources'!$D$2:$D$1402,$A57,'Resources'!$B$2:$B$1402,C$1)</x:f>
        <x:v>1</x:v>
      </x:c>
      <x:c r="D57" s="552" t="n">
        <x:f>COUNTIFS('Resources'!$D$2:$D$1402,$A57,'Resources'!$B$2:$B$1402,D$1)</x:f>
        <x:v>0</x:v>
      </x:c>
      <x:c r="E57" s="552" t="n">
        <x:f>COUNTIFS('Resources'!$D$2:$D$1402,$A57,'Resources'!$B$2:$B$1402,E$1)</x:f>
        <x:v>1</x:v>
      </x:c>
    </x:row>
    <x:row r="58" ht="22" customHeight="1">
      <x:c r="A58" s="549" t="str">
        <x:v>AI Agents / Spec-Driven Development</x:v>
      </x:c>
      <x:c r="B58" s="550" t="n">
        <x:f>COUNTIF('Resources'!$D$2:$D$1402,$A58)</x:f>
        <x:v>1</x:v>
      </x:c>
      <x:c r="C58" s="550" t="n">
        <x:f>COUNTIFS('Resources'!$D$2:$D$1402,$A58,'Resources'!$B$2:$B$1402,C$1)</x:f>
        <x:v>0</x:v>
      </x:c>
      <x:c r="D58" s="550" t="n">
        <x:f>COUNTIFS('Resources'!$D$2:$D$1402,$A58,'Resources'!$B$2:$B$1402,D$1)</x:f>
        <x:v>1</x:v>
      </x:c>
      <x:c r="E58" s="550" t="n">
        <x:f>COUNTIFS('Resources'!$D$2:$D$1402,$A58,'Resources'!$B$2:$B$1402,E$1)</x:f>
        <x:v>0</x:v>
      </x:c>
    </x:row>
    <x:row r="59" ht="22" customHeight="1">
      <x:c r="A59" s="551" t="str">
        <x:v>AI Agents / Structured Outputs</x:v>
      </x:c>
      <x:c r="B59" s="552" t="n">
        <x:f>COUNTIF('Resources'!$D$2:$D$1402,$A59)</x:f>
        <x:v>1</x:v>
      </x:c>
      <x:c r="C59" s="552" t="n">
        <x:f>COUNTIFS('Resources'!$D$2:$D$1402,$A59,'Resources'!$B$2:$B$1402,C$1)</x:f>
        <x:v>0</x:v>
      </x:c>
      <x:c r="D59" s="552" t="n">
        <x:f>COUNTIFS('Resources'!$D$2:$D$1402,$A59,'Resources'!$B$2:$B$1402,D$1)</x:f>
        <x:v>1</x:v>
      </x:c>
      <x:c r="E59" s="552" t="n">
        <x:f>COUNTIFS('Resources'!$D$2:$D$1402,$A59,'Resources'!$B$2:$B$1402,E$1)</x:f>
        <x:v>0</x:v>
      </x:c>
    </x:row>
    <x:row r="60" ht="22" customHeight="1">
      <x:c r="A60" s="549" t="str">
        <x:v>AI Agents / Team Workflows</x:v>
      </x:c>
      <x:c r="B60" s="550" t="n">
        <x:f>COUNTIF('Resources'!$D$2:$D$1402,$A60)</x:f>
        <x:v>1</x:v>
      </x:c>
      <x:c r="C60" s="550" t="n">
        <x:f>COUNTIFS('Resources'!$D$2:$D$1402,$A60,'Resources'!$B$2:$B$1402,C$1)</x:f>
        <x:v>0</x:v>
      </x:c>
      <x:c r="D60" s="550" t="n">
        <x:f>COUNTIFS('Resources'!$D$2:$D$1402,$A60,'Resources'!$B$2:$B$1402,D$1)</x:f>
        <x:v>1</x:v>
      </x:c>
      <x:c r="E60" s="550" t="n">
        <x:f>COUNTIFS('Resources'!$D$2:$D$1402,$A60,'Resources'!$B$2:$B$1402,E$1)</x:f>
        <x:v>0</x:v>
      </x:c>
    </x:row>
    <x:row r="61" ht="22" customHeight="1">
      <x:c r="A61" s="551" t="str">
        <x:v>AI Agents / Tool Use</x:v>
      </x:c>
      <x:c r="B61" s="552" t="n">
        <x:f>COUNTIF('Resources'!$D$2:$D$1402,$A61)</x:f>
        <x:v>1</x:v>
      </x:c>
      <x:c r="C61" s="552" t="n">
        <x:f>COUNTIFS('Resources'!$D$2:$D$1402,$A61,'Resources'!$B$2:$B$1402,C$1)</x:f>
        <x:v>0</x:v>
      </x:c>
      <x:c r="D61" s="552" t="n">
        <x:f>COUNTIFS('Resources'!$D$2:$D$1402,$A61,'Resources'!$B$2:$B$1402,D$1)</x:f>
        <x:v>1</x:v>
      </x:c>
      <x:c r="E61" s="552" t="n">
        <x:f>COUNTIFS('Resources'!$D$2:$D$1402,$A61,'Resources'!$B$2:$B$1402,E$1)</x:f>
        <x:v>0</x:v>
      </x:c>
    </x:row>
    <x:row r="62" ht="22" customHeight="1">
      <x:c r="A62" s="549" t="str">
        <x:v>AI Agents / Vision Generation</x:v>
      </x:c>
      <x:c r="B62" s="550" t="n">
        <x:f>COUNTIF('Resources'!$D$2:$D$1402,$A62)</x:f>
        <x:v>1</x:v>
      </x:c>
      <x:c r="C62" s="550" t="n">
        <x:f>COUNTIFS('Resources'!$D$2:$D$1402,$A62,'Resources'!$B$2:$B$1402,C$1)</x:f>
        <x:v>0</x:v>
      </x:c>
      <x:c r="D62" s="550" t="n">
        <x:f>COUNTIFS('Resources'!$D$2:$D$1402,$A62,'Resources'!$B$2:$B$1402,D$1)</x:f>
        <x:v>1</x:v>
      </x:c>
      <x:c r="E62" s="550" t="n">
        <x:f>COUNTIFS('Resources'!$D$2:$D$1402,$A62,'Resources'!$B$2:$B$1402,E$1)</x:f>
        <x:v>0</x:v>
      </x:c>
    </x:row>
    <x:row r="63" ht="22" customHeight="1">
      <x:c r="A63" s="551" t="str">
        <x:v>AI Agents / Voice and Language</x:v>
      </x:c>
      <x:c r="B63" s="552" t="n">
        <x:f>COUNTIF('Resources'!$D$2:$D$1402,$A63)</x:f>
        <x:v>1</x:v>
      </x:c>
      <x:c r="C63" s="552" t="n">
        <x:f>COUNTIFS('Resources'!$D$2:$D$1402,$A63,'Resources'!$B$2:$B$1402,C$1)</x:f>
        <x:v>1</x:v>
      </x:c>
      <x:c r="D63" s="552" t="n">
        <x:f>COUNTIFS('Resources'!$D$2:$D$1402,$A63,'Resources'!$B$2:$B$1402,D$1)</x:f>
        <x:v>0</x:v>
      </x:c>
      <x:c r="E63" s="552" t="n">
        <x:f>COUNTIFS('Resources'!$D$2:$D$1402,$A63,'Resources'!$B$2:$B$1402,E$1)</x:f>
        <x:v>0</x:v>
      </x:c>
    </x:row>
    <x:row r="64" ht="22" customHeight="1">
      <x:c r="A64" s="549" t="str">
        <x:v>AI Agents / Workflow Automation</x:v>
      </x:c>
      <x:c r="B64" s="550" t="n">
        <x:f>COUNTIF('Resources'!$D$2:$D$1402,$A64)</x:f>
        <x:v>2</x:v>
      </x:c>
      <x:c r="C64" s="550" t="n">
        <x:f>COUNTIFS('Resources'!$D$2:$D$1402,$A64,'Resources'!$B$2:$B$1402,C$1)</x:f>
        <x:v>0</x:v>
      </x:c>
      <x:c r="D64" s="550" t="n">
        <x:f>COUNTIFS('Resources'!$D$2:$D$1402,$A64,'Resources'!$B$2:$B$1402,D$1)</x:f>
        <x:v>2</x:v>
      </x:c>
      <x:c r="E64" s="550" t="n">
        <x:f>COUNTIFS('Resources'!$D$2:$D$1402,$A64,'Resources'!$B$2:$B$1402,E$1)</x:f>
        <x:v>0</x:v>
      </x:c>
    </x:row>
    <x:row r="65" ht="22" customHeight="1">
      <x:c r="A65" s="551" t="str">
        <x:v>AI Agents / World Models</x:v>
      </x:c>
      <x:c r="B65" s="552" t="n">
        <x:f>COUNTIF('Resources'!$D$2:$D$1402,$A65)</x:f>
        <x:v>1</x:v>
      </x:c>
      <x:c r="C65" s="552" t="n">
        <x:f>COUNTIFS('Resources'!$D$2:$D$1402,$A65,'Resources'!$B$2:$B$1402,C$1)</x:f>
        <x:v>0</x:v>
      </x:c>
      <x:c r="D65" s="552" t="n">
        <x:f>COUNTIFS('Resources'!$D$2:$D$1402,$A65,'Resources'!$B$2:$B$1402,D$1)</x:f>
        <x:v>0</x:v>
      </x:c>
      <x:c r="E65" s="552" t="n">
        <x:f>COUNTIFS('Resources'!$D$2:$D$1402,$A65,'Resources'!$B$2:$B$1402,E$1)</x:f>
        <x:v>1</x:v>
      </x:c>
    </x:row>
    <x:row r="66" ht="22" customHeight="1">
      <x:c r="A66" s="549" t="str">
        <x:v>AI and Society</x:v>
      </x:c>
      <x:c r="B66" s="550" t="n">
        <x:f>COUNTIF('Resources'!$D$2:$D$1402,$A66)</x:f>
        <x:v>12</x:v>
      </x:c>
      <x:c r="C66" s="550" t="n">
        <x:f>COUNTIFS('Resources'!$D$2:$D$1402,$A66,'Resources'!$B$2:$B$1402,C$1)</x:f>
        <x:v>0</x:v>
      </x:c>
      <x:c r="D66" s="550" t="n">
        <x:f>COUNTIFS('Resources'!$D$2:$D$1402,$A66,'Resources'!$B$2:$B$1402,D$1)</x:f>
        <x:v>0</x:v>
      </x:c>
      <x:c r="E66" s="550" t="n">
        <x:f>COUNTIFS('Resources'!$D$2:$D$1402,$A66,'Resources'!$B$2:$B$1402,E$1)</x:f>
        <x:v>12</x:v>
      </x:c>
    </x:row>
    <x:row r="67" ht="22" customHeight="1">
      <x:c r="A67" s="551" t="str">
        <x:v>AI Engineering / Production</x:v>
      </x:c>
      <x:c r="B67" s="552" t="n">
        <x:f>COUNTIF('Resources'!$D$2:$D$1402,$A67)</x:f>
        <x:v>1</x:v>
      </x:c>
      <x:c r="C67" s="552" t="n">
        <x:f>COUNTIFS('Resources'!$D$2:$D$1402,$A67,'Resources'!$B$2:$B$1402,C$1)</x:f>
        <x:v>0</x:v>
      </x:c>
      <x:c r="D67" s="552" t="n">
        <x:f>COUNTIFS('Resources'!$D$2:$D$1402,$A67,'Resources'!$B$2:$B$1402,D$1)</x:f>
        <x:v>1</x:v>
      </x:c>
      <x:c r="E67" s="552" t="n">
        <x:f>COUNTIFS('Resources'!$D$2:$D$1402,$A67,'Resources'!$B$2:$B$1402,E$1)</x:f>
        <x:v>0</x:v>
      </x:c>
    </x:row>
    <x:row r="68" ht="22" customHeight="1">
      <x:c r="A68" s="549" t="str">
        <x:v>AI Evaluation / Benchmarking</x:v>
      </x:c>
      <x:c r="B68" s="550" t="n">
        <x:f>COUNTIF('Resources'!$D$2:$D$1402,$A68)</x:f>
        <x:v>2</x:v>
      </x:c>
      <x:c r="C68" s="550" t="n">
        <x:f>COUNTIFS('Resources'!$D$2:$D$1402,$A68,'Resources'!$B$2:$B$1402,C$1)</x:f>
        <x:v>0</x:v>
      </x:c>
      <x:c r="D68" s="550" t="n">
        <x:f>COUNTIFS('Resources'!$D$2:$D$1402,$A68,'Resources'!$B$2:$B$1402,D$1)</x:f>
        <x:v>0</x:v>
      </x:c>
      <x:c r="E68" s="550" t="n">
        <x:f>COUNTIFS('Resources'!$D$2:$D$1402,$A68,'Resources'!$B$2:$B$1402,E$1)</x:f>
        <x:v>2</x:v>
      </x:c>
    </x:row>
    <x:row r="69" ht="22" customHeight="1">
      <x:c r="A69" s="551" t="str">
        <x:v>AI Evaluation / Cognitive Science</x:v>
      </x:c>
      <x:c r="B69" s="552" t="n">
        <x:f>COUNTIF('Resources'!$D$2:$D$1402,$A69)</x:f>
        <x:v>4</x:v>
      </x:c>
      <x:c r="C69" s="552" t="n">
        <x:f>COUNTIFS('Resources'!$D$2:$D$1402,$A69,'Resources'!$B$2:$B$1402,C$1)</x:f>
        <x:v>0</x:v>
      </x:c>
      <x:c r="D69" s="552" t="n">
        <x:f>COUNTIFS('Resources'!$D$2:$D$1402,$A69,'Resources'!$B$2:$B$1402,D$1)</x:f>
        <x:v>0</x:v>
      </x:c>
      <x:c r="E69" s="552" t="n">
        <x:f>COUNTIFS('Resources'!$D$2:$D$1402,$A69,'Resources'!$B$2:$B$1402,E$1)</x:f>
        <x:v>4</x:v>
      </x:c>
    </x:row>
    <x:row r="70" ht="22" customHeight="1">
      <x:c r="A70" s="549" t="str">
        <x:v>AI for Good / Digital Skills</x:v>
      </x:c>
      <x:c r="B70" s="550" t="n">
        <x:f>COUNTIF('Resources'!$D$2:$D$1402,$A70)</x:f>
        <x:v>1</x:v>
      </x:c>
      <x:c r="C70" s="550" t="n">
        <x:f>COUNTIFS('Resources'!$D$2:$D$1402,$A70,'Resources'!$B$2:$B$1402,C$1)</x:f>
        <x:v>1</x:v>
      </x:c>
      <x:c r="D70" s="550" t="n">
        <x:f>COUNTIFS('Resources'!$D$2:$D$1402,$A70,'Resources'!$B$2:$B$1402,D$1)</x:f>
        <x:v>0</x:v>
      </x:c>
      <x:c r="E70" s="550" t="n">
        <x:f>COUNTIFS('Resources'!$D$2:$D$1402,$A70,'Resources'!$B$2:$B$1402,E$1)</x:f>
        <x:v>0</x:v>
      </x:c>
    </x:row>
    <x:row r="71" ht="22" customHeight="1">
      <x:c r="A71" s="551" t="str">
        <x:v>AI for Good / Enterprise AI</x:v>
      </x:c>
      <x:c r="B71" s="552" t="n">
        <x:f>COUNTIF('Resources'!$D$2:$D$1402,$A71)</x:f>
        <x:v>1</x:v>
      </x:c>
      <x:c r="C71" s="552" t="n">
        <x:f>COUNTIFS('Resources'!$D$2:$D$1402,$A71,'Resources'!$B$2:$B$1402,C$1)</x:f>
        <x:v>1</x:v>
      </x:c>
      <x:c r="D71" s="552" t="n">
        <x:f>COUNTIFS('Resources'!$D$2:$D$1402,$A71,'Resources'!$B$2:$B$1402,D$1)</x:f>
        <x:v>0</x:v>
      </x:c>
      <x:c r="E71" s="552" t="n">
        <x:f>COUNTIFS('Resources'!$D$2:$D$1402,$A71,'Resources'!$B$2:$B$1402,E$1)</x:f>
        <x:v>0</x:v>
      </x:c>
    </x:row>
    <x:row r="72" ht="22" customHeight="1">
      <x:c r="A72" s="549" t="str">
        <x:v>AI for Science</x:v>
      </x:c>
      <x:c r="B72" s="550" t="n">
        <x:f>COUNTIF('Resources'!$D$2:$D$1402,$A72)</x:f>
        <x:v>16</x:v>
      </x:c>
      <x:c r="C72" s="550" t="n">
        <x:f>COUNTIFS('Resources'!$D$2:$D$1402,$A72,'Resources'!$B$2:$B$1402,C$1)</x:f>
        <x:v>4</x:v>
      </x:c>
      <x:c r="D72" s="550" t="n">
        <x:f>COUNTIFS('Resources'!$D$2:$D$1402,$A72,'Resources'!$B$2:$B$1402,D$1)</x:f>
        <x:v>0</x:v>
      </x:c>
      <x:c r="E72" s="550" t="n">
        <x:f>COUNTIFS('Resources'!$D$2:$D$1402,$A72,'Resources'!$B$2:$B$1402,E$1)</x:f>
        <x:v>12</x:v>
      </x:c>
    </x:row>
    <x:row r="73" ht="22" customHeight="1">
      <x:c r="A73" s="551" t="str">
        <x:v>AI for Science / Protein Design</x:v>
      </x:c>
      <x:c r="B73" s="552" t="n">
        <x:f>COUNTIF('Resources'!$D$2:$D$1402,$A73)</x:f>
        <x:v>1</x:v>
      </x:c>
      <x:c r="C73" s="552" t="n">
        <x:f>COUNTIFS('Resources'!$D$2:$D$1402,$A73,'Resources'!$B$2:$B$1402,C$1)</x:f>
        <x:v>0</x:v>
      </x:c>
      <x:c r="D73" s="552" t="n">
        <x:f>COUNTIFS('Resources'!$D$2:$D$1402,$A73,'Resources'!$B$2:$B$1402,D$1)</x:f>
        <x:v>0</x:v>
      </x:c>
      <x:c r="E73" s="552" t="n">
        <x:f>COUNTIFS('Resources'!$D$2:$D$1402,$A73,'Resources'!$B$2:$B$1402,E$1)</x:f>
        <x:v>1</x:v>
      </x:c>
    </x:row>
    <x:row r="74" ht="22" customHeight="1">
      <x:c r="A74" s="549" t="str">
        <x:v>AI for Science / Protein Structure Prediction</x:v>
      </x:c>
      <x:c r="B74" s="550" t="n">
        <x:f>COUNTIF('Resources'!$D$2:$D$1402,$A74)</x:f>
        <x:v>2</x:v>
      </x:c>
      <x:c r="C74" s="550" t="n">
        <x:f>COUNTIFS('Resources'!$D$2:$D$1402,$A74,'Resources'!$B$2:$B$1402,C$1)</x:f>
        <x:v>0</x:v>
      </x:c>
      <x:c r="D74" s="550" t="n">
        <x:f>COUNTIFS('Resources'!$D$2:$D$1402,$A74,'Resources'!$B$2:$B$1402,D$1)</x:f>
        <x:v>0</x:v>
      </x:c>
      <x:c r="E74" s="550" t="n">
        <x:f>COUNTIFS('Resources'!$D$2:$D$1402,$A74,'Resources'!$B$2:$B$1402,E$1)</x:f>
        <x:v>2</x:v>
      </x:c>
    </x:row>
    <x:row r="75" ht="22" customHeight="1">
      <x:c r="A75" s="551" t="str">
        <x:v>AI Foundations</x:v>
      </x:c>
      <x:c r="B75" s="552" t="n">
        <x:f>COUNTIF('Resources'!$D$2:$D$1402,$A75)</x:f>
        <x:v>3</x:v>
      </x:c>
      <x:c r="C75" s="552" t="n">
        <x:f>COUNTIFS('Resources'!$D$2:$D$1402,$A75,'Resources'!$B$2:$B$1402,C$1)</x:f>
        <x:v>0</x:v>
      </x:c>
      <x:c r="D75" s="552" t="n">
        <x:f>COUNTIFS('Resources'!$D$2:$D$1402,$A75,'Resources'!$B$2:$B$1402,D$1)</x:f>
        <x:v>3</x:v>
      </x:c>
      <x:c r="E75" s="552" t="n">
        <x:f>COUNTIFS('Resources'!$D$2:$D$1402,$A75,'Resources'!$B$2:$B$1402,E$1)</x:f>
        <x:v>0</x:v>
      </x:c>
    </x:row>
    <x:row r="76" ht="22" customHeight="1">
      <x:c r="A76" s="549" t="str">
        <x:v>AI Foundations / Agentic AI</x:v>
      </x:c>
      <x:c r="B76" s="550" t="n">
        <x:f>COUNTIF('Resources'!$D$2:$D$1402,$A76)</x:f>
        <x:v>1</x:v>
      </x:c>
      <x:c r="C76" s="550" t="n">
        <x:f>COUNTIFS('Resources'!$D$2:$D$1402,$A76,'Resources'!$B$2:$B$1402,C$1)</x:f>
        <x:v>0</x:v>
      </x:c>
      <x:c r="D76" s="550" t="n">
        <x:f>COUNTIFS('Resources'!$D$2:$D$1402,$A76,'Resources'!$B$2:$B$1402,D$1)</x:f>
        <x:v>1</x:v>
      </x:c>
      <x:c r="E76" s="550" t="n">
        <x:f>COUNTIFS('Resources'!$D$2:$D$1402,$A76,'Resources'!$B$2:$B$1402,E$1)</x:f>
        <x:v>0</x:v>
      </x:c>
    </x:row>
    <x:row r="77" ht="22" customHeight="1">
      <x:c r="A77" s="551" t="str">
        <x:v>AI Foundations / Associative Memory</x:v>
      </x:c>
      <x:c r="B77" s="552" t="n">
        <x:f>COUNTIF('Resources'!$D$2:$D$1402,$A77)</x:f>
        <x:v>1</x:v>
      </x:c>
      <x:c r="C77" s="552" t="n">
        <x:f>COUNTIFS('Resources'!$D$2:$D$1402,$A77,'Resources'!$B$2:$B$1402,C$1)</x:f>
        <x:v>0</x:v>
      </x:c>
      <x:c r="D77" s="552" t="n">
        <x:f>COUNTIFS('Resources'!$D$2:$D$1402,$A77,'Resources'!$B$2:$B$1402,D$1)</x:f>
        <x:v>0</x:v>
      </x:c>
      <x:c r="E77" s="552" t="n">
        <x:f>COUNTIFS('Resources'!$D$2:$D$1402,$A77,'Resources'!$B$2:$B$1402,E$1)</x:f>
        <x:v>1</x:v>
      </x:c>
    </x:row>
    <x:row r="78" ht="22" customHeight="1">
      <x:c r="A78" s="549" t="str">
        <x:v>AI Foundations / Intrinsic Motivation</x:v>
      </x:c>
      <x:c r="B78" s="550" t="n">
        <x:f>COUNTIF('Resources'!$D$2:$D$1402,$A78)</x:f>
        <x:v>1</x:v>
      </x:c>
      <x:c r="C78" s="550" t="n">
        <x:f>COUNTIFS('Resources'!$D$2:$D$1402,$A78,'Resources'!$B$2:$B$1402,C$1)</x:f>
        <x:v>0</x:v>
      </x:c>
      <x:c r="D78" s="550" t="n">
        <x:f>COUNTIFS('Resources'!$D$2:$D$1402,$A78,'Resources'!$B$2:$B$1402,D$1)</x:f>
        <x:v>0</x:v>
      </x:c>
      <x:c r="E78" s="550" t="n">
        <x:f>COUNTIFS('Resources'!$D$2:$D$1402,$A78,'Resources'!$B$2:$B$1402,E$1)</x:f>
        <x:v>1</x:v>
      </x:c>
    </x:row>
    <x:row r="79" ht="22" customHeight="1">
      <x:c r="A79" s="551" t="str">
        <x:v>AI Industry / Startups</x:v>
      </x:c>
      <x:c r="B79" s="552" t="n">
        <x:f>COUNTIF('Resources'!$D$2:$D$1402,$A79)</x:f>
        <x:v>16</x:v>
      </x:c>
      <x:c r="C79" s="552" t="n">
        <x:f>COUNTIFS('Resources'!$D$2:$D$1402,$A79,'Resources'!$B$2:$B$1402,C$1)</x:f>
        <x:v>16</x:v>
      </x:c>
      <x:c r="D79" s="552" t="n">
        <x:f>COUNTIFS('Resources'!$D$2:$D$1402,$A79,'Resources'!$B$2:$B$1402,D$1)</x:f>
        <x:v>0</x:v>
      </x:c>
      <x:c r="E79" s="552" t="n">
        <x:f>COUNTIFS('Resources'!$D$2:$D$1402,$A79,'Resources'!$B$2:$B$1402,E$1)</x:f>
        <x:v>0</x:v>
      </x:c>
    </x:row>
    <x:row r="80" ht="22" customHeight="1">
      <x:c r="A80" s="549" t="str">
        <x:v>AI Infrastructure / Agent Tooling</x:v>
      </x:c>
      <x:c r="B80" s="550" t="n">
        <x:f>COUNTIF('Resources'!$D$2:$D$1402,$A80)</x:f>
        <x:v>1</x:v>
      </x:c>
      <x:c r="C80" s="550" t="n">
        <x:f>COUNTIFS('Resources'!$D$2:$D$1402,$A80,'Resources'!$B$2:$B$1402,C$1)</x:f>
        <x:v>0</x:v>
      </x:c>
      <x:c r="D80" s="550" t="n">
        <x:f>COUNTIFS('Resources'!$D$2:$D$1402,$A80,'Resources'!$B$2:$B$1402,D$1)</x:f>
        <x:v>1</x:v>
      </x:c>
      <x:c r="E80" s="550" t="n">
        <x:f>COUNTIFS('Resources'!$D$2:$D$1402,$A80,'Resources'!$B$2:$B$1402,E$1)</x:f>
        <x:v>0</x:v>
      </x:c>
    </x:row>
    <x:row r="81" ht="22" customHeight="1">
      <x:c r="A81" s="551" t="str">
        <x:v>AI Infrastructure / Local Inference</x:v>
      </x:c>
      <x:c r="B81" s="552" t="n">
        <x:f>COUNTIF('Resources'!$D$2:$D$1402,$A81)</x:f>
        <x:v>1</x:v>
      </x:c>
      <x:c r="C81" s="552" t="n">
        <x:f>COUNTIFS('Resources'!$D$2:$D$1402,$A81,'Resources'!$B$2:$B$1402,C$1)</x:f>
        <x:v>0</x:v>
      </x:c>
      <x:c r="D81" s="552" t="n">
        <x:f>COUNTIFS('Resources'!$D$2:$D$1402,$A81,'Resources'!$B$2:$B$1402,D$1)</x:f>
        <x:v>1</x:v>
      </x:c>
      <x:c r="E81" s="552" t="n">
        <x:f>COUNTIFS('Resources'!$D$2:$D$1402,$A81,'Resources'!$B$2:$B$1402,E$1)</x:f>
        <x:v>0</x:v>
      </x:c>
    </x:row>
    <x:row r="82" ht="22" customHeight="1">
      <x:c r="A82" s="549" t="str">
        <x:v>AI Models / DeepSeek</x:v>
      </x:c>
      <x:c r="B82" s="550" t="n">
        <x:f>COUNTIF('Resources'!$D$2:$D$1402,$A82)</x:f>
        <x:v>2</x:v>
      </x:c>
      <x:c r="C82" s="550" t="n">
        <x:f>COUNTIFS('Resources'!$D$2:$D$1402,$A82,'Resources'!$B$2:$B$1402,C$1)</x:f>
        <x:v>0</x:v>
      </x:c>
      <x:c r="D82" s="550" t="n">
        <x:f>COUNTIFS('Resources'!$D$2:$D$1402,$A82,'Resources'!$B$2:$B$1402,D$1)</x:f>
        <x:v>0</x:v>
      </x:c>
      <x:c r="E82" s="550" t="n">
        <x:f>COUNTIFS('Resources'!$D$2:$D$1402,$A82,'Resources'!$B$2:$B$1402,E$1)</x:f>
        <x:v>2</x:v>
      </x:c>
    </x:row>
    <x:row r="83" ht="22" customHeight="1">
      <x:c r="A83" s="551" t="str">
        <x:v>AI Models / Gemini</x:v>
      </x:c>
      <x:c r="B83" s="552" t="n">
        <x:f>COUNTIF('Resources'!$D$2:$D$1402,$A83)</x:f>
        <x:v>1</x:v>
      </x:c>
      <x:c r="C83" s="552" t="n">
        <x:f>COUNTIFS('Resources'!$D$2:$D$1402,$A83,'Resources'!$B$2:$B$1402,C$1)</x:f>
        <x:v>0</x:v>
      </x:c>
      <x:c r="D83" s="552" t="n">
        <x:f>COUNTIFS('Resources'!$D$2:$D$1402,$A83,'Resources'!$B$2:$B$1402,D$1)</x:f>
        <x:v>0</x:v>
      </x:c>
      <x:c r="E83" s="552" t="n">
        <x:f>COUNTIFS('Resources'!$D$2:$D$1402,$A83,'Resources'!$B$2:$B$1402,E$1)</x:f>
        <x:v>1</x:v>
      </x:c>
    </x:row>
    <x:row r="84" ht="22" customHeight="1">
      <x:c r="A84" s="549" t="str">
        <x:v>AI Models / Local Deployment</x:v>
      </x:c>
      <x:c r="B84" s="550" t="n">
        <x:f>COUNTIF('Resources'!$D$2:$D$1402,$A84)</x:f>
        <x:v>1</x:v>
      </x:c>
      <x:c r="C84" s="550" t="n">
        <x:f>COUNTIFS('Resources'!$D$2:$D$1402,$A84,'Resources'!$B$2:$B$1402,C$1)</x:f>
        <x:v>0</x:v>
      </x:c>
      <x:c r="D84" s="550" t="n">
        <x:f>COUNTIFS('Resources'!$D$2:$D$1402,$A84,'Resources'!$B$2:$B$1402,D$1)</x:f>
        <x:v>1</x:v>
      </x:c>
      <x:c r="E84" s="550" t="n">
        <x:f>COUNTIFS('Resources'!$D$2:$D$1402,$A84,'Resources'!$B$2:$B$1402,E$1)</x:f>
        <x:v>0</x:v>
      </x:c>
    </x:row>
    <x:row r="85" ht="22" customHeight="1">
      <x:c r="A85" s="551" t="str">
        <x:v>AI Privacy / Security / Law</x:v>
      </x:c>
      <x:c r="B85" s="552" t="n">
        <x:f>COUNTIF('Resources'!$D$2:$D$1402,$A85)</x:f>
        <x:v>5</x:v>
      </x:c>
      <x:c r="C85" s="552" t="n">
        <x:f>COUNTIFS('Resources'!$D$2:$D$1402,$A85,'Resources'!$B$2:$B$1402,C$1)</x:f>
        <x:v>0</x:v>
      </x:c>
      <x:c r="D85" s="552" t="n">
        <x:f>COUNTIFS('Resources'!$D$2:$D$1402,$A85,'Resources'!$B$2:$B$1402,D$1)</x:f>
        <x:v>0</x:v>
      </x:c>
      <x:c r="E85" s="552" t="n">
        <x:f>COUNTIFS('Resources'!$D$2:$D$1402,$A85,'Resources'!$B$2:$B$1402,E$1)</x:f>
        <x:v>5</x:v>
      </x:c>
    </x:row>
    <x:row r="86" ht="22" customHeight="1">
      <x:c r="A86" s="549" t="str">
        <x:v>AI Research / Evaluation</x:v>
      </x:c>
      <x:c r="B86" s="550" t="n">
        <x:f>COUNTIF('Resources'!$D$2:$D$1402,$A86)</x:f>
        <x:v>1</x:v>
      </x:c>
      <x:c r="C86" s="550" t="n">
        <x:f>COUNTIFS('Resources'!$D$2:$D$1402,$A86,'Resources'!$B$2:$B$1402,C$1)</x:f>
        <x:v>0</x:v>
      </x:c>
      <x:c r="D86" s="550" t="n">
        <x:f>COUNTIFS('Resources'!$D$2:$D$1402,$A86,'Resources'!$B$2:$B$1402,D$1)</x:f>
        <x:v>0</x:v>
      </x:c>
      <x:c r="E86" s="550" t="n">
        <x:f>COUNTIFS('Resources'!$D$2:$D$1402,$A86,'Resources'!$B$2:$B$1402,E$1)</x:f>
        <x:v>1</x:v>
      </x:c>
    </x:row>
    <x:row r="87" ht="22" customHeight="1">
      <x:c r="A87" s="551" t="str">
        <x:v>AI Research / Scientific Practice</x:v>
      </x:c>
      <x:c r="B87" s="552" t="n">
        <x:f>COUNTIF('Resources'!$D$2:$D$1402,$A87)</x:f>
        <x:v>1</x:v>
      </x:c>
      <x:c r="C87" s="552" t="n">
        <x:f>COUNTIFS('Resources'!$D$2:$D$1402,$A87,'Resources'!$B$2:$B$1402,C$1)</x:f>
        <x:v>1</x:v>
      </x:c>
      <x:c r="D87" s="552" t="n">
        <x:f>COUNTIFS('Resources'!$D$2:$D$1402,$A87,'Resources'!$B$2:$B$1402,D$1)</x:f>
        <x:v>0</x:v>
      </x:c>
      <x:c r="E87" s="552" t="n">
        <x:f>COUNTIFS('Resources'!$D$2:$D$1402,$A87,'Resources'!$B$2:$B$1402,E$1)</x:f>
        <x:v>0</x:v>
      </x:c>
    </x:row>
    <x:row r="88" ht="22" customHeight="1">
      <x:c r="A88" s="549" t="str">
        <x:v>AI Research / Social Impact</x:v>
      </x:c>
      <x:c r="B88" s="550" t="n">
        <x:f>COUNTIF('Resources'!$D$2:$D$1402,$A88)</x:f>
        <x:v>7</x:v>
      </x:c>
      <x:c r="C88" s="550" t="n">
        <x:f>COUNTIFS('Resources'!$D$2:$D$1402,$A88,'Resources'!$B$2:$B$1402,C$1)</x:f>
        <x:v>7</x:v>
      </x:c>
      <x:c r="D88" s="550" t="n">
        <x:f>COUNTIFS('Resources'!$D$2:$D$1402,$A88,'Resources'!$B$2:$B$1402,D$1)</x:f>
        <x:v>0</x:v>
      </x:c>
      <x:c r="E88" s="550" t="n">
        <x:f>COUNTIFS('Resources'!$D$2:$D$1402,$A88,'Resources'!$B$2:$B$1402,E$1)</x:f>
        <x:v>0</x:v>
      </x:c>
    </x:row>
    <x:row r="89" ht="22" customHeight="1">
      <x:c r="A89" s="551" t="str">
        <x:v>AI Research Frontiers</x:v>
      </x:c>
      <x:c r="B89" s="552" t="n">
        <x:f>COUNTIF('Resources'!$D$2:$D$1402,$A89)</x:f>
        <x:v>46</x:v>
      </x:c>
      <x:c r="C89" s="552" t="n">
        <x:f>COUNTIFS('Resources'!$D$2:$D$1402,$A89,'Resources'!$B$2:$B$1402,C$1)</x:f>
        <x:v>24</x:v>
      </x:c>
      <x:c r="D89" s="552" t="n">
        <x:f>COUNTIFS('Resources'!$D$2:$D$1402,$A89,'Resources'!$B$2:$B$1402,D$1)</x:f>
        <x:v>1</x:v>
      </x:c>
      <x:c r="E89" s="552" t="n">
        <x:f>COUNTIFS('Resources'!$D$2:$D$1402,$A89,'Resources'!$B$2:$B$1402,E$1)</x:f>
        <x:v>21</x:v>
      </x:c>
    </x:row>
    <x:row r="90" ht="22" customHeight="1">
      <x:c r="A90" s="549" t="str">
        <x:v>AI Safety / Alignment / Oversight</x:v>
      </x:c>
      <x:c r="B90" s="550" t="n">
        <x:f>COUNTIF('Resources'!$D$2:$D$1402,$A90)</x:f>
        <x:v>7</x:v>
      </x:c>
      <x:c r="C90" s="550" t="n">
        <x:f>COUNTIFS('Resources'!$D$2:$D$1402,$A90,'Resources'!$B$2:$B$1402,C$1)</x:f>
        <x:v>3</x:v>
      </x:c>
      <x:c r="D90" s="550" t="n">
        <x:f>COUNTIFS('Resources'!$D$2:$D$1402,$A90,'Resources'!$B$2:$B$1402,D$1)</x:f>
        <x:v>0</x:v>
      </x:c>
      <x:c r="E90" s="550" t="n">
        <x:f>COUNTIFS('Resources'!$D$2:$D$1402,$A90,'Resources'!$B$2:$B$1402,E$1)</x:f>
        <x:v>4</x:v>
      </x:c>
    </x:row>
    <x:row r="91" ht="22" customHeight="1">
      <x:c r="A91" s="551" t="str">
        <x:v>AI Safety / Governance / Society</x:v>
      </x:c>
      <x:c r="B91" s="552" t="n">
        <x:f>COUNTIF('Resources'!$D$2:$D$1402,$A91)</x:f>
        <x:v>1</x:v>
      </x:c>
      <x:c r="C91" s="552" t="n">
        <x:f>COUNTIFS('Resources'!$D$2:$D$1402,$A91,'Resources'!$B$2:$B$1402,C$1)</x:f>
        <x:v>0</x:v>
      </x:c>
      <x:c r="D91" s="552" t="n">
        <x:f>COUNTIFS('Resources'!$D$2:$D$1402,$A91,'Resources'!$B$2:$B$1402,D$1)</x:f>
        <x:v>0</x:v>
      </x:c>
      <x:c r="E91" s="552" t="n">
        <x:f>COUNTIFS('Resources'!$D$2:$D$1402,$A91,'Resources'!$B$2:$B$1402,E$1)</x:f>
        <x:v>1</x:v>
      </x:c>
    </x:row>
    <x:row r="92" ht="22" customHeight="1">
      <x:c r="A92" s="549" t="str">
        <x:v>AI Safety / Security / Finetuning</x:v>
      </x:c>
      <x:c r="B92" s="550" t="n">
        <x:f>COUNTIF('Resources'!$D$2:$D$1402,$A92)</x:f>
        <x:v>1</x:v>
      </x:c>
      <x:c r="C92" s="550" t="n">
        <x:f>COUNTIFS('Resources'!$D$2:$D$1402,$A92,'Resources'!$B$2:$B$1402,C$1)</x:f>
        <x:v>0</x:v>
      </x:c>
      <x:c r="D92" s="550" t="n">
        <x:f>COUNTIFS('Resources'!$D$2:$D$1402,$A92,'Resources'!$B$2:$B$1402,D$1)</x:f>
        <x:v>0</x:v>
      </x:c>
      <x:c r="E92" s="550" t="n">
        <x:f>COUNTIFS('Resources'!$D$2:$D$1402,$A92,'Resources'!$B$2:$B$1402,E$1)</x:f>
        <x:v>1</x:v>
      </x:c>
    </x:row>
    <x:row r="93" ht="22" customHeight="1">
      <x:c r="A93" s="551" t="str">
        <x:v>AI Startups / Foundation Models</x:v>
      </x:c>
      <x:c r="B93" s="552" t="n">
        <x:f>COUNTIF('Resources'!$D$2:$D$1402,$A93)</x:f>
        <x:v>9</x:v>
      </x:c>
      <x:c r="C93" s="552" t="n">
        <x:f>COUNTIFS('Resources'!$D$2:$D$1402,$A93,'Resources'!$B$2:$B$1402,C$1)</x:f>
        <x:v>9</x:v>
      </x:c>
      <x:c r="D93" s="552" t="n">
        <x:f>COUNTIFS('Resources'!$D$2:$D$1402,$A93,'Resources'!$B$2:$B$1402,D$1)</x:f>
        <x:v>0</x:v>
      </x:c>
      <x:c r="E93" s="552" t="n">
        <x:f>COUNTIFS('Resources'!$D$2:$D$1402,$A93,'Resources'!$B$2:$B$1402,E$1)</x:f>
        <x:v>0</x:v>
      </x:c>
    </x:row>
    <x:row r="94" ht="22" customHeight="1">
      <x:c r="A94" s="549" t="str">
        <x:v>AI Systems / Accelerated Computing</x:v>
      </x:c>
      <x:c r="B94" s="550" t="n">
        <x:f>COUNTIF('Resources'!$D$2:$D$1402,$A94)</x:f>
        <x:v>13</x:v>
      </x:c>
      <x:c r="C94" s="550" t="n">
        <x:f>COUNTIFS('Resources'!$D$2:$D$1402,$A94,'Resources'!$B$2:$B$1402,C$1)</x:f>
        <x:v>7</x:v>
      </x:c>
      <x:c r="D94" s="550" t="n">
        <x:f>COUNTIFS('Resources'!$D$2:$D$1402,$A94,'Resources'!$B$2:$B$1402,D$1)</x:f>
        <x:v>0</x:v>
      </x:c>
      <x:c r="E94" s="550" t="n">
        <x:f>COUNTIFS('Resources'!$D$2:$D$1402,$A94,'Resources'!$B$2:$B$1402,E$1)</x:f>
        <x:v>6</x:v>
      </x:c>
    </x:row>
    <x:row r="95" ht="22" customHeight="1">
      <x:c r="A95" s="551" t="str">
        <x:v>AI Systems / Energy Efficiency</x:v>
      </x:c>
      <x:c r="B95" s="552" t="n">
        <x:f>COUNTIF('Resources'!$D$2:$D$1402,$A95)</x:f>
        <x:v>2</x:v>
      </x:c>
      <x:c r="C95" s="552" t="n">
        <x:f>COUNTIFS('Resources'!$D$2:$D$1402,$A95,'Resources'!$B$2:$B$1402,C$1)</x:f>
        <x:v>0</x:v>
      </x:c>
      <x:c r="D95" s="552" t="n">
        <x:f>COUNTIFS('Resources'!$D$2:$D$1402,$A95,'Resources'!$B$2:$B$1402,D$1)</x:f>
        <x:v>0</x:v>
      </x:c>
      <x:c r="E95" s="552" t="n">
        <x:f>COUNTIFS('Resources'!$D$2:$D$1402,$A95,'Resources'!$B$2:$B$1402,E$1)</x:f>
        <x:v>2</x:v>
      </x:c>
    </x:row>
    <x:row r="96" ht="22" customHeight="1">
      <x:c r="A96" s="549" t="str">
        <x:v>AI Systems / Frameworks</x:v>
      </x:c>
      <x:c r="B96" s="550" t="n">
        <x:f>COUNTIF('Resources'!$D$2:$D$1402,$A96)</x:f>
        <x:v>1</x:v>
      </x:c>
      <x:c r="C96" s="550" t="n">
        <x:f>COUNTIFS('Resources'!$D$2:$D$1402,$A96,'Resources'!$B$2:$B$1402,C$1)</x:f>
        <x:v>0</x:v>
      </x:c>
      <x:c r="D96" s="550" t="n">
        <x:f>COUNTIFS('Resources'!$D$2:$D$1402,$A96,'Resources'!$B$2:$B$1402,D$1)</x:f>
        <x:v>0</x:v>
      </x:c>
      <x:c r="E96" s="550" t="n">
        <x:f>COUNTIFS('Resources'!$D$2:$D$1402,$A96,'Resources'!$B$2:$B$1402,E$1)</x:f>
        <x:v>1</x:v>
      </x:c>
    </x:row>
    <x:row r="97" ht="22" customHeight="1">
      <x:c r="A97" s="551" t="str">
        <x:v>AI Systems / Hardware Efficiency</x:v>
      </x:c>
      <x:c r="B97" s="552" t="n">
        <x:f>COUNTIF('Resources'!$D$2:$D$1402,$A97)</x:f>
        <x:v>1</x:v>
      </x:c>
      <x:c r="C97" s="552" t="n">
        <x:f>COUNTIFS('Resources'!$D$2:$D$1402,$A97,'Resources'!$B$2:$B$1402,C$1)</x:f>
        <x:v>0</x:v>
      </x:c>
      <x:c r="D97" s="552" t="n">
        <x:f>COUNTIFS('Resources'!$D$2:$D$1402,$A97,'Resources'!$B$2:$B$1402,D$1)</x:f>
        <x:v>0</x:v>
      </x:c>
      <x:c r="E97" s="552" t="n">
        <x:f>COUNTIFS('Resources'!$D$2:$D$1402,$A97,'Resources'!$B$2:$B$1402,E$1)</x:f>
        <x:v>1</x:v>
      </x:c>
    </x:row>
    <x:row r="98" ht="22" customHeight="1">
      <x:c r="A98" s="549" t="str">
        <x:v>AI Systems / Infrastructure</x:v>
      </x:c>
      <x:c r="B98" s="550" t="n">
        <x:f>COUNTIF('Resources'!$D$2:$D$1402,$A98)</x:f>
        <x:v>13</x:v>
      </x:c>
      <x:c r="C98" s="550" t="n">
        <x:f>COUNTIFS('Resources'!$D$2:$D$1402,$A98,'Resources'!$B$2:$B$1402,C$1)</x:f>
        <x:v>6</x:v>
      </x:c>
      <x:c r="D98" s="550" t="n">
        <x:f>COUNTIFS('Resources'!$D$2:$D$1402,$A98,'Resources'!$B$2:$B$1402,D$1)</x:f>
        <x:v>0</x:v>
      </x:c>
      <x:c r="E98" s="550" t="n">
        <x:f>COUNTIFS('Resources'!$D$2:$D$1402,$A98,'Resources'!$B$2:$B$1402,E$1)</x:f>
        <x:v>7</x:v>
      </x:c>
    </x:row>
    <x:row r="99" ht="22" customHeight="1">
      <x:c r="A99" s="551" t="str">
        <x:v>AI Systems / Serving / Evaluation</x:v>
      </x:c>
      <x:c r="B99" s="552" t="n">
        <x:f>COUNTIF('Resources'!$D$2:$D$1402,$A99)</x:f>
        <x:v>1</x:v>
      </x:c>
      <x:c r="C99" s="552" t="n">
        <x:f>COUNTIFS('Resources'!$D$2:$D$1402,$A99,'Resources'!$B$2:$B$1402,C$1)</x:f>
        <x:v>0</x:v>
      </x:c>
      <x:c r="D99" s="552" t="n">
        <x:f>COUNTIFS('Resources'!$D$2:$D$1402,$A99,'Resources'!$B$2:$B$1402,D$1)</x:f>
        <x:v>0</x:v>
      </x:c>
      <x:c r="E99" s="552" t="n">
        <x:f>COUNTIFS('Resources'!$D$2:$D$1402,$A99,'Resources'!$B$2:$B$1402,E$1)</x:f>
        <x:v>1</x:v>
      </x:c>
    </x:row>
    <x:row r="100" ht="22" customHeight="1">
      <x:c r="A100" s="549" t="str">
        <x:v>Artificial Intelligence Foundations</x:v>
      </x:c>
      <x:c r="B100" s="550" t="n">
        <x:f>COUNTIF('Resources'!$D$2:$D$1402,$A100)</x:f>
        <x:v>25</x:v>
      </x:c>
      <x:c r="C100" s="550" t="n">
        <x:f>COUNTIFS('Resources'!$D$2:$D$1402,$A100,'Resources'!$B$2:$B$1402,C$1)</x:f>
        <x:v>0</x:v>
      </x:c>
      <x:c r="D100" s="550" t="n">
        <x:f>COUNTIFS('Resources'!$D$2:$D$1402,$A100,'Resources'!$B$2:$B$1402,D$1)</x:f>
        <x:v>25</x:v>
      </x:c>
      <x:c r="E100" s="550" t="n">
        <x:f>COUNTIFS('Resources'!$D$2:$D$1402,$A100,'Resources'!$B$2:$B$1402,E$1)</x:f>
        <x:v>0</x:v>
      </x:c>
    </x:row>
    <x:row r="101" ht="22" customHeight="1">
      <x:c r="A101" s="551" t="str">
        <x:v>Autonomous Driving / 3D Perception</x:v>
      </x:c>
      <x:c r="B101" s="552" t="n">
        <x:f>COUNTIF('Resources'!$D$2:$D$1402,$A101)</x:f>
        <x:v>1</x:v>
      </x:c>
      <x:c r="C101" s="552" t="n">
        <x:f>COUNTIFS('Resources'!$D$2:$D$1402,$A101,'Resources'!$B$2:$B$1402,C$1)</x:f>
        <x:v>0</x:v>
      </x:c>
      <x:c r="D101" s="552" t="n">
        <x:f>COUNTIFS('Resources'!$D$2:$D$1402,$A101,'Resources'!$B$2:$B$1402,D$1)</x:f>
        <x:v>0</x:v>
      </x:c>
      <x:c r="E101" s="552" t="n">
        <x:f>COUNTIFS('Resources'!$D$2:$D$1402,$A101,'Resources'!$B$2:$B$1402,E$1)</x:f>
        <x:v>1</x:v>
      </x:c>
    </x:row>
    <x:row r="102" ht="22" customHeight="1">
      <x:c r="A102" s="549" t="str">
        <x:v>Autonomous Driving / Embodied AI</x:v>
      </x:c>
      <x:c r="B102" s="550" t="n">
        <x:f>COUNTIF('Resources'!$D$2:$D$1402,$A102)</x:f>
        <x:v>1</x:v>
      </x:c>
      <x:c r="C102" s="550" t="n">
        <x:f>COUNTIFS('Resources'!$D$2:$D$1402,$A102,'Resources'!$B$2:$B$1402,C$1)</x:f>
        <x:v>0</x:v>
      </x:c>
      <x:c r="D102" s="550" t="n">
        <x:f>COUNTIFS('Resources'!$D$2:$D$1402,$A102,'Resources'!$B$2:$B$1402,D$1)</x:f>
        <x:v>0</x:v>
      </x:c>
      <x:c r="E102" s="550" t="n">
        <x:f>COUNTIFS('Resources'!$D$2:$D$1402,$A102,'Resources'!$B$2:$B$1402,E$1)</x:f>
        <x:v>1</x:v>
      </x:c>
    </x:row>
    <x:row r="103" ht="22" customHeight="1">
      <x:c r="A103" s="551" t="str">
        <x:v>Autonomous Driving / Foundation Models</x:v>
      </x:c>
      <x:c r="B103" s="552" t="n">
        <x:f>COUNTIF('Resources'!$D$2:$D$1402,$A103)</x:f>
        <x:v>1</x:v>
      </x:c>
      <x:c r="C103" s="552" t="n">
        <x:f>COUNTIFS('Resources'!$D$2:$D$1402,$A103,'Resources'!$B$2:$B$1402,C$1)</x:f>
        <x:v>0</x:v>
      </x:c>
      <x:c r="D103" s="552" t="n">
        <x:f>COUNTIFS('Resources'!$D$2:$D$1402,$A103,'Resources'!$B$2:$B$1402,D$1)</x:f>
        <x:v>0</x:v>
      </x:c>
      <x:c r="E103" s="552" t="n">
        <x:f>COUNTIFS('Resources'!$D$2:$D$1402,$A103,'Resources'!$B$2:$B$1402,E$1)</x:f>
        <x:v>1</x:v>
      </x:c>
    </x:row>
    <x:row r="104" ht="22" customHeight="1">
      <x:c r="A104" s="549" t="str">
        <x:v>Autonomous Driving / Learned Simulation</x:v>
      </x:c>
      <x:c r="B104" s="550" t="n">
        <x:f>COUNTIF('Resources'!$D$2:$D$1402,$A104)</x:f>
        <x:v>1</x:v>
      </x:c>
      <x:c r="C104" s="550" t="n">
        <x:f>COUNTIFS('Resources'!$D$2:$D$1402,$A104,'Resources'!$B$2:$B$1402,C$1)</x:f>
        <x:v>0</x:v>
      </x:c>
      <x:c r="D104" s="550" t="n">
        <x:f>COUNTIFS('Resources'!$D$2:$D$1402,$A104,'Resources'!$B$2:$B$1402,D$1)</x:f>
        <x:v>0</x:v>
      </x:c>
      <x:c r="E104" s="550" t="n">
        <x:f>COUNTIFS('Resources'!$D$2:$D$1402,$A104,'Resources'!$B$2:$B$1402,E$1)</x:f>
        <x:v>1</x:v>
      </x:c>
    </x:row>
    <x:row r="105" ht="22" customHeight="1">
      <x:c r="A105" s="551" t="str">
        <x:v>Autonomous Driving / Neural Simulation</x:v>
      </x:c>
      <x:c r="B105" s="552" t="n">
        <x:f>COUNTIF('Resources'!$D$2:$D$1402,$A105)</x:f>
        <x:v>2</x:v>
      </x:c>
      <x:c r="C105" s="552" t="n">
        <x:f>COUNTIFS('Resources'!$D$2:$D$1402,$A105,'Resources'!$B$2:$B$1402,C$1)</x:f>
        <x:v>0</x:v>
      </x:c>
      <x:c r="D105" s="552" t="n">
        <x:f>COUNTIFS('Resources'!$D$2:$D$1402,$A105,'Resources'!$B$2:$B$1402,D$1)</x:f>
        <x:v>0</x:v>
      </x:c>
      <x:c r="E105" s="552" t="n">
        <x:f>COUNTIFS('Resources'!$D$2:$D$1402,$A105,'Resources'!$B$2:$B$1402,E$1)</x:f>
        <x:v>2</x:v>
      </x:c>
    </x:row>
    <x:row r="106" ht="22" customHeight="1">
      <x:c r="A106" s="549" t="str">
        <x:v>Autonomous Driving / Perception &amp; Simulation</x:v>
      </x:c>
      <x:c r="B106" s="550" t="n">
        <x:f>COUNTIF('Resources'!$D$2:$D$1402,$A106)</x:f>
        <x:v>1</x:v>
      </x:c>
      <x:c r="C106" s="550" t="n">
        <x:f>COUNTIFS('Resources'!$D$2:$D$1402,$A106,'Resources'!$B$2:$B$1402,C$1)</x:f>
        <x:v>0</x:v>
      </x:c>
      <x:c r="D106" s="550" t="n">
        <x:f>COUNTIFS('Resources'!$D$2:$D$1402,$A106,'Resources'!$B$2:$B$1402,D$1)</x:f>
        <x:v>0</x:v>
      </x:c>
      <x:c r="E106" s="550" t="n">
        <x:f>COUNTIFS('Resources'!$D$2:$D$1402,$A106,'Resources'!$B$2:$B$1402,E$1)</x:f>
        <x:v>1</x:v>
      </x:c>
    </x:row>
    <x:row r="107" ht="22" customHeight="1">
      <x:c r="A107" s="551" t="str">
        <x:v>Autonomous Driving / Vision-Centric Autonomy</x:v>
      </x:c>
      <x:c r="B107" s="552" t="n">
        <x:f>COUNTIF('Resources'!$D$2:$D$1402,$A107)</x:f>
        <x:v>1</x:v>
      </x:c>
      <x:c r="C107" s="552" t="n">
        <x:f>COUNTIFS('Resources'!$D$2:$D$1402,$A107,'Resources'!$B$2:$B$1402,C$1)</x:f>
        <x:v>0</x:v>
      </x:c>
      <x:c r="D107" s="552" t="n">
        <x:f>COUNTIFS('Resources'!$D$2:$D$1402,$A107,'Resources'!$B$2:$B$1402,D$1)</x:f>
        <x:v>0</x:v>
      </x:c>
      <x:c r="E107" s="552" t="n">
        <x:f>COUNTIFS('Resources'!$D$2:$D$1402,$A107,'Resources'!$B$2:$B$1402,E$1)</x:f>
        <x:v>1</x:v>
      </x:c>
    </x:row>
    <x:row r="108" ht="22" customHeight="1">
      <x:c r="A108" s="549" t="str">
        <x:v>Autonomous Driving / World Models</x:v>
      </x:c>
      <x:c r="B108" s="550" t="n">
        <x:f>COUNTIF('Resources'!$D$2:$D$1402,$A108)</x:f>
        <x:v>1</x:v>
      </x:c>
      <x:c r="C108" s="550" t="n">
        <x:f>COUNTIFS('Resources'!$D$2:$D$1402,$A108,'Resources'!$B$2:$B$1402,C$1)</x:f>
        <x:v>0</x:v>
      </x:c>
      <x:c r="D108" s="550" t="n">
        <x:f>COUNTIFS('Resources'!$D$2:$D$1402,$A108,'Resources'!$B$2:$B$1402,D$1)</x:f>
        <x:v>0</x:v>
      </x:c>
      <x:c r="E108" s="550" t="n">
        <x:f>COUNTIFS('Resources'!$D$2:$D$1402,$A108,'Resources'!$B$2:$B$1402,E$1)</x:f>
        <x:v>1</x:v>
      </x:c>
    </x:row>
    <x:row r="109" ht="22" customHeight="1">
      <x:c r="A109" s="551" t="str">
        <x:v>Causal Inference / AI Foundations</x:v>
      </x:c>
      <x:c r="B109" s="552" t="n">
        <x:f>COUNTIF('Resources'!$D$2:$D$1402,$A109)</x:f>
        <x:v>1</x:v>
      </x:c>
      <x:c r="C109" s="552" t="n">
        <x:f>COUNTIFS('Resources'!$D$2:$D$1402,$A109,'Resources'!$B$2:$B$1402,C$1)</x:f>
        <x:v>0</x:v>
      </x:c>
      <x:c r="D109" s="552" t="n">
        <x:f>COUNTIFS('Resources'!$D$2:$D$1402,$A109,'Resources'!$B$2:$B$1402,D$1)</x:f>
        <x:v>0</x:v>
      </x:c>
      <x:c r="E109" s="552" t="n">
        <x:f>COUNTIFS('Resources'!$D$2:$D$1402,$A109,'Resources'!$B$2:$B$1402,E$1)</x:f>
        <x:v>1</x:v>
      </x:c>
    </x:row>
    <x:row r="110" ht="22" customHeight="1">
      <x:c r="A110" s="549" t="str">
        <x:v>Chinese AI Researchers</x:v>
      </x:c>
      <x:c r="B110" s="550" t="n">
        <x:f>COUNTIF('Resources'!$D$2:$D$1402,$A110)</x:f>
        <x:v>5</x:v>
      </x:c>
      <x:c r="C110" s="550" t="n">
        <x:f>COUNTIFS('Resources'!$D$2:$D$1402,$A110,'Resources'!$B$2:$B$1402,C$1)</x:f>
        <x:v>3</x:v>
      </x:c>
      <x:c r="D110" s="550" t="n">
        <x:f>COUNTIFS('Resources'!$D$2:$D$1402,$A110,'Resources'!$B$2:$B$1402,D$1)</x:f>
        <x:v>1</x:v>
      </x:c>
      <x:c r="E110" s="550" t="n">
        <x:f>COUNTIFS('Resources'!$D$2:$D$1402,$A110,'Resources'!$B$2:$B$1402,E$1)</x:f>
        <x:v>1</x:v>
      </x:c>
    </x:row>
    <x:row r="111" ht="22" customHeight="1">
      <x:c r="A111" s="551" t="str">
        <x:v>Computer Vision</x:v>
      </x:c>
      <x:c r="B111" s="552" t="n">
        <x:f>COUNTIF('Resources'!$D$2:$D$1402,$A111)</x:f>
        <x:v>63</x:v>
      </x:c>
      <x:c r="C111" s="552" t="n">
        <x:f>COUNTIFS('Resources'!$D$2:$D$1402,$A111,'Resources'!$B$2:$B$1402,C$1)</x:f>
        <x:v>12</x:v>
      </x:c>
      <x:c r="D111" s="552" t="n">
        <x:f>COUNTIFS('Resources'!$D$2:$D$1402,$A111,'Resources'!$B$2:$B$1402,D$1)</x:f>
        <x:v>31</x:v>
      </x:c>
      <x:c r="E111" s="552" t="n">
        <x:f>COUNTIFS('Resources'!$D$2:$D$1402,$A111,'Resources'!$B$2:$B$1402,E$1)</x:f>
        <x:v>20</x:v>
      </x:c>
    </x:row>
    <x:row r="112" ht="22" customHeight="1">
      <x:c r="A112" s="549" t="str">
        <x:v>Computer Vision / 3D Vision</x:v>
      </x:c>
      <x:c r="B112" s="550" t="n">
        <x:f>COUNTIF('Resources'!$D$2:$D$1402,$A112)</x:f>
        <x:v>52</x:v>
      </x:c>
      <x:c r="C112" s="550" t="n">
        <x:f>COUNTIFS('Resources'!$D$2:$D$1402,$A112,'Resources'!$B$2:$B$1402,C$1)</x:f>
        <x:v>2</x:v>
      </x:c>
      <x:c r="D112" s="550" t="n">
        <x:f>COUNTIFS('Resources'!$D$2:$D$1402,$A112,'Resources'!$B$2:$B$1402,D$1)</x:f>
        <x:v>32</x:v>
      </x:c>
      <x:c r="E112" s="550" t="n">
        <x:f>COUNTIFS('Resources'!$D$2:$D$1402,$A112,'Resources'!$B$2:$B$1402,E$1)</x:f>
        <x:v>18</x:v>
      </x:c>
    </x:row>
    <x:row r="113" ht="22" customHeight="1">
      <x:c r="A113" s="551" t="str">
        <x:v>Computer Vision / Deep Learning</x:v>
      </x:c>
      <x:c r="B113" s="552" t="n">
        <x:f>COUNTIF('Resources'!$D$2:$D$1402,$A113)</x:f>
        <x:v>1</x:v>
      </x:c>
      <x:c r="C113" s="552" t="n">
        <x:f>COUNTIFS('Resources'!$D$2:$D$1402,$A113,'Resources'!$B$2:$B$1402,C$1)</x:f>
        <x:v>0</x:v>
      </x:c>
      <x:c r="D113" s="552" t="n">
        <x:f>COUNTIFS('Resources'!$D$2:$D$1402,$A113,'Resources'!$B$2:$B$1402,D$1)</x:f>
        <x:v>1</x:v>
      </x:c>
      <x:c r="E113" s="552" t="n">
        <x:f>COUNTIFS('Resources'!$D$2:$D$1402,$A113,'Resources'!$B$2:$B$1402,E$1)</x:f>
        <x:v>0</x:v>
      </x:c>
    </x:row>
    <x:row r="114" ht="22" customHeight="1">
      <x:c r="A114" s="549" t="str">
        <x:v>Deep Learning / Representation Learning</x:v>
      </x:c>
      <x:c r="B114" s="550" t="n">
        <x:f>COUNTIF('Resources'!$D$2:$D$1402,$A114)</x:f>
        <x:v>5</x:v>
      </x:c>
      <x:c r="C114" s="550" t="n">
        <x:f>COUNTIFS('Resources'!$D$2:$D$1402,$A114,'Resources'!$B$2:$B$1402,C$1)</x:f>
        <x:v>0</x:v>
      </x:c>
      <x:c r="D114" s="550" t="n">
        <x:f>COUNTIFS('Resources'!$D$2:$D$1402,$A114,'Resources'!$B$2:$B$1402,D$1)</x:f>
        <x:v>5</x:v>
      </x:c>
      <x:c r="E114" s="550" t="n">
        <x:f>COUNTIFS('Resources'!$D$2:$D$1402,$A114,'Resources'!$B$2:$B$1402,E$1)</x:f>
        <x:v>0</x:v>
      </x:c>
    </x:row>
    <x:row r="115" ht="22" customHeight="1">
      <x:c r="A115" s="551" t="str">
        <x:v>Deep Learning / Speech</x:v>
      </x:c>
      <x:c r="B115" s="552" t="n">
        <x:f>COUNTIF('Resources'!$D$2:$D$1402,$A115)</x:f>
        <x:v>4</x:v>
      </x:c>
      <x:c r="C115" s="552" t="n">
        <x:f>COUNTIFS('Resources'!$D$2:$D$1402,$A115,'Resources'!$B$2:$B$1402,C$1)</x:f>
        <x:v>0</x:v>
      </x:c>
      <x:c r="D115" s="552" t="n">
        <x:f>COUNTIFS('Resources'!$D$2:$D$1402,$A115,'Resources'!$B$2:$B$1402,D$1)</x:f>
        <x:v>4</x:v>
      </x:c>
      <x:c r="E115" s="552" t="n">
        <x:f>COUNTIFS('Resources'!$D$2:$D$1402,$A115,'Resources'!$B$2:$B$1402,E$1)</x:f>
        <x:v>0</x:v>
      </x:c>
    </x:row>
    <x:row r="116" ht="22" customHeight="1">
      <x:c r="A116" s="549" t="str">
        <x:v>Deep Learning Foundations</x:v>
      </x:c>
      <x:c r="B116" s="550" t="n">
        <x:f>COUNTIF('Resources'!$D$2:$D$1402,$A116)</x:f>
        <x:v>77</x:v>
      </x:c>
      <x:c r="C116" s="550" t="n">
        <x:f>COUNTIFS('Resources'!$D$2:$D$1402,$A116,'Resources'!$B$2:$B$1402,C$1)</x:f>
        <x:v>0</x:v>
      </x:c>
      <x:c r="D116" s="550" t="n">
        <x:f>COUNTIFS('Resources'!$D$2:$D$1402,$A116,'Resources'!$B$2:$B$1402,D$1)</x:f>
        <x:v>74</x:v>
      </x:c>
      <x:c r="E116" s="550" t="n">
        <x:f>COUNTIFS('Resources'!$D$2:$D$1402,$A116,'Resources'!$B$2:$B$1402,E$1)</x:f>
        <x:v>3</x:v>
      </x:c>
    </x:row>
    <x:row r="117" ht="22" customHeight="1">
      <x:c r="A117" s="551" t="str">
        <x:v>Deep Learning Optimization</x:v>
      </x:c>
      <x:c r="B117" s="552" t="n">
        <x:f>COUNTIF('Resources'!$D$2:$D$1402,$A117)</x:f>
        <x:v>1</x:v>
      </x:c>
      <x:c r="C117" s="552" t="n">
        <x:f>COUNTIFS('Resources'!$D$2:$D$1402,$A117,'Resources'!$B$2:$B$1402,C$1)</x:f>
        <x:v>0</x:v>
      </x:c>
      <x:c r="D117" s="552" t="n">
        <x:f>COUNTIFS('Resources'!$D$2:$D$1402,$A117,'Resources'!$B$2:$B$1402,D$1)</x:f>
        <x:v>0</x:v>
      </x:c>
      <x:c r="E117" s="552" t="n">
        <x:f>COUNTIFS('Resources'!$D$2:$D$1402,$A117,'Resources'!$B$2:$B$1402,E$1)</x:f>
        <x:v>1</x:v>
      </x:c>
    </x:row>
    <x:row r="118" ht="22" customHeight="1">
      <x:c r="A118" s="549" t="str">
        <x:v>Deep Reinforcement Learning</x:v>
      </x:c>
      <x:c r="B118" s="550" t="n">
        <x:f>COUNTIF('Resources'!$D$2:$D$1402,$A118)</x:f>
        <x:v>26</x:v>
      </x:c>
      <x:c r="C118" s="550" t="n">
        <x:f>COUNTIFS('Resources'!$D$2:$D$1402,$A118,'Resources'!$B$2:$B$1402,C$1)</x:f>
        <x:v>3</x:v>
      </x:c>
      <x:c r="D118" s="550" t="n">
        <x:f>COUNTIFS('Resources'!$D$2:$D$1402,$A118,'Resources'!$B$2:$B$1402,D$1)</x:f>
        <x:v>23</x:v>
      </x:c>
      <x:c r="E118" s="550" t="n">
        <x:f>COUNTIFS('Resources'!$D$2:$D$1402,$A118,'Resources'!$B$2:$B$1402,E$1)</x:f>
        <x:v>0</x:v>
      </x:c>
    </x:row>
    <x:row r="119" ht="22" customHeight="1">
      <x:c r="A119" s="551" t="str">
        <x:v>Deep Reinforcement Learning / Model-Based RL</x:v>
      </x:c>
      <x:c r="B119" s="552" t="n">
        <x:f>COUNTIF('Resources'!$D$2:$D$1402,$A119)</x:f>
        <x:v>14</x:v>
      </x:c>
      <x:c r="C119" s="552" t="n">
        <x:f>COUNTIFS('Resources'!$D$2:$D$1402,$A119,'Resources'!$B$2:$B$1402,C$1)</x:f>
        <x:v>0</x:v>
      </x:c>
      <x:c r="D119" s="552" t="n">
        <x:f>COUNTIFS('Resources'!$D$2:$D$1402,$A119,'Resources'!$B$2:$B$1402,D$1)</x:f>
        <x:v>14</x:v>
      </x:c>
      <x:c r="E119" s="552" t="n">
        <x:f>COUNTIFS('Resources'!$D$2:$D$1402,$A119,'Resources'!$B$2:$B$1402,E$1)</x:f>
        <x:v>0</x:v>
      </x:c>
    </x:row>
    <x:row r="120" ht="22" customHeight="1">
      <x:c r="A120" s="549" t="str">
        <x:v>Diffusion Models / Generative AI</x:v>
      </x:c>
      <x:c r="B120" s="550" t="n">
        <x:f>COUNTIF('Resources'!$D$2:$D$1402,$A120)</x:f>
        <x:v>4</x:v>
      </x:c>
      <x:c r="C120" s="550" t="n">
        <x:f>COUNTIFS('Resources'!$D$2:$D$1402,$A120,'Resources'!$B$2:$B$1402,C$1)</x:f>
        <x:v>0</x:v>
      </x:c>
      <x:c r="D120" s="550" t="n">
        <x:f>COUNTIFS('Resources'!$D$2:$D$1402,$A120,'Resources'!$B$2:$B$1402,D$1)</x:f>
        <x:v>0</x:v>
      </x:c>
      <x:c r="E120" s="550" t="n">
        <x:f>COUNTIFS('Resources'!$D$2:$D$1402,$A120,'Resources'!$B$2:$B$1402,E$1)</x:f>
        <x:v>4</x:v>
      </x:c>
    </x:row>
    <x:row r="121" ht="22" customHeight="1">
      <x:c r="A121" s="551" t="str">
        <x:v>Edge AI / TinyML</x:v>
      </x:c>
      <x:c r="B121" s="552" t="n">
        <x:f>COUNTIF('Resources'!$D$2:$D$1402,$A121)</x:f>
        <x:v>5</x:v>
      </x:c>
      <x:c r="C121" s="552" t="n">
        <x:f>COUNTIFS('Resources'!$D$2:$D$1402,$A121,'Resources'!$B$2:$B$1402,C$1)</x:f>
        <x:v>1</x:v>
      </x:c>
      <x:c r="D121" s="552" t="n">
        <x:f>COUNTIFS('Resources'!$D$2:$D$1402,$A121,'Resources'!$B$2:$B$1402,D$1)</x:f>
        <x:v>4</x:v>
      </x:c>
      <x:c r="E121" s="552" t="n">
        <x:f>COUNTIFS('Resources'!$D$2:$D$1402,$A121,'Resources'!$B$2:$B$1402,E$1)</x:f>
        <x:v>0</x:v>
      </x:c>
    </x:row>
    <x:row r="122" ht="22" customHeight="1">
      <x:c r="A122" s="549" t="str">
        <x:v>Efficient Deep Learning / AI Systems</x:v>
      </x:c>
      <x:c r="B122" s="550" t="n">
        <x:f>COUNTIF('Resources'!$D$2:$D$1402,$A122)</x:f>
        <x:v>20</x:v>
      </x:c>
      <x:c r="C122" s="550" t="n">
        <x:f>COUNTIFS('Resources'!$D$2:$D$1402,$A122,'Resources'!$B$2:$B$1402,C$1)</x:f>
        <x:v>0</x:v>
      </x:c>
      <x:c r="D122" s="550" t="n">
        <x:f>COUNTIFS('Resources'!$D$2:$D$1402,$A122,'Resources'!$B$2:$B$1402,D$1)</x:f>
        <x:v>20</x:v>
      </x:c>
      <x:c r="E122" s="550" t="n">
        <x:f>COUNTIFS('Resources'!$D$2:$D$1402,$A122,'Resources'!$B$2:$B$1402,E$1)</x:f>
        <x:v>0</x:v>
      </x:c>
    </x:row>
    <x:row r="123" ht="22" customHeight="1">
      <x:c r="A123" s="551" t="str">
        <x:v>Foundation Models / AI Frontiers</x:v>
      </x:c>
      <x:c r="B123" s="552" t="n">
        <x:f>COUNTIF('Resources'!$D$2:$D$1402,$A123)</x:f>
        <x:v>6</x:v>
      </x:c>
      <x:c r="C123" s="552" t="n">
        <x:f>COUNTIFS('Resources'!$D$2:$D$1402,$A123,'Resources'!$B$2:$B$1402,C$1)</x:f>
        <x:v>0</x:v>
      </x:c>
      <x:c r="D123" s="552" t="n">
        <x:f>COUNTIFS('Resources'!$D$2:$D$1402,$A123,'Resources'!$B$2:$B$1402,D$1)</x:f>
        <x:v>0</x:v>
      </x:c>
      <x:c r="E123" s="552" t="n">
        <x:f>COUNTIFS('Resources'!$D$2:$D$1402,$A123,'Resources'!$B$2:$B$1402,E$1)</x:f>
        <x:v>6</x:v>
      </x:c>
    </x:row>
    <x:row r="124" ht="22" customHeight="1">
      <x:c r="A124" s="549" t="str">
        <x:v>General AI / People</x:v>
      </x:c>
      <x:c r="B124" s="550" t="n">
        <x:f>COUNTIF('Resources'!$D$2:$D$1402,$A124)</x:f>
        <x:v>17</x:v>
      </x:c>
      <x:c r="C124" s="550" t="n">
        <x:f>COUNTIFS('Resources'!$D$2:$D$1402,$A124,'Resources'!$B$2:$B$1402,C$1)</x:f>
        <x:v>17</x:v>
      </x:c>
      <x:c r="D124" s="550" t="n">
        <x:f>COUNTIFS('Resources'!$D$2:$D$1402,$A124,'Resources'!$B$2:$B$1402,D$1)</x:f>
        <x:v>0</x:v>
      </x:c>
      <x:c r="E124" s="550" t="n">
        <x:f>COUNTIFS('Resources'!$D$2:$D$1402,$A124,'Resources'!$B$2:$B$1402,E$1)</x:f>
        <x:v>0</x:v>
      </x:c>
    </x:row>
    <x:row r="125" ht="22" customHeight="1">
      <x:c r="A125" s="551" t="str">
        <x:v>Generative AI / Developers</x:v>
      </x:c>
      <x:c r="B125" s="552" t="n">
        <x:f>COUNTIF('Resources'!$D$2:$D$1402,$A125)</x:f>
        <x:v>7</x:v>
      </x:c>
      <x:c r="C125" s="552" t="n">
        <x:f>COUNTIFS('Resources'!$D$2:$D$1402,$A125,'Resources'!$B$2:$B$1402,C$1)</x:f>
        <x:v>7</x:v>
      </x:c>
      <x:c r="D125" s="552" t="n">
        <x:f>COUNTIFS('Resources'!$D$2:$D$1402,$A125,'Resources'!$B$2:$B$1402,D$1)</x:f>
        <x:v>0</x:v>
      </x:c>
      <x:c r="E125" s="552" t="n">
        <x:f>COUNTIFS('Resources'!$D$2:$D$1402,$A125,'Resources'!$B$2:$B$1402,E$1)</x:f>
        <x:v>0</x:v>
      </x:c>
    </x:row>
    <x:row r="126" ht="22" customHeight="1">
      <x:c r="A126" s="549" t="str">
        <x:v>Graph Machine Learning</x:v>
      </x:c>
      <x:c r="B126" s="550" t="n">
        <x:f>COUNTIF('Resources'!$D$2:$D$1402,$A126)</x:f>
        <x:v>3</x:v>
      </x:c>
      <x:c r="C126" s="550" t="n">
        <x:f>COUNTIFS('Resources'!$D$2:$D$1402,$A126,'Resources'!$B$2:$B$1402,C$1)</x:f>
        <x:v>0</x:v>
      </x:c>
      <x:c r="D126" s="550" t="n">
        <x:f>COUNTIFS('Resources'!$D$2:$D$1402,$A126,'Resources'!$B$2:$B$1402,D$1)</x:f>
        <x:v>1</x:v>
      </x:c>
      <x:c r="E126" s="550" t="n">
        <x:f>COUNTIFS('Resources'!$D$2:$D$1402,$A126,'Resources'!$B$2:$B$1402,E$1)</x:f>
        <x:v>2</x:v>
      </x:c>
    </x:row>
    <x:row r="127" ht="22" customHeight="1">
      <x:c r="A127" s="551" t="str">
        <x:v>Interpretability / Explainable AI</x:v>
      </x:c>
      <x:c r="B127" s="552" t="n">
        <x:f>COUNTIF('Resources'!$D$2:$D$1402,$A127)</x:f>
        <x:v>1</x:v>
      </x:c>
      <x:c r="C127" s="552" t="n">
        <x:f>COUNTIFS('Resources'!$D$2:$D$1402,$A127,'Resources'!$B$2:$B$1402,C$1)</x:f>
        <x:v>0</x:v>
      </x:c>
      <x:c r="D127" s="552" t="n">
        <x:f>COUNTIFS('Resources'!$D$2:$D$1402,$A127,'Resources'!$B$2:$B$1402,D$1)</x:f>
        <x:v>0</x:v>
      </x:c>
      <x:c r="E127" s="552" t="n">
        <x:f>COUNTIFS('Resources'!$D$2:$D$1402,$A127,'Resources'!$B$2:$B$1402,E$1)</x:f>
        <x:v>1</x:v>
      </x:c>
    </x:row>
    <x:row r="128" ht="22" customHeight="1">
      <x:c r="A128" s="549" t="str">
        <x:v>Interpretability / Robustness / Representation Geometry</x:v>
      </x:c>
      <x:c r="B128" s="550" t="n">
        <x:f>COUNTIF('Resources'!$D$2:$D$1402,$A128)</x:f>
        <x:v>1</x:v>
      </x:c>
      <x:c r="C128" s="550" t="n">
        <x:f>COUNTIFS('Resources'!$D$2:$D$1402,$A128,'Resources'!$B$2:$B$1402,C$1)</x:f>
        <x:v>0</x:v>
      </x:c>
      <x:c r="D128" s="550" t="n">
        <x:f>COUNTIFS('Resources'!$D$2:$D$1402,$A128,'Resources'!$B$2:$B$1402,D$1)</x:f>
        <x:v>0</x:v>
      </x:c>
      <x:c r="E128" s="550" t="n">
        <x:f>COUNTIFS('Resources'!$D$2:$D$1402,$A128,'Resources'!$B$2:$B$1402,E$1)</x:f>
        <x:v>1</x:v>
      </x:c>
    </x:row>
    <x:row r="129" ht="22" customHeight="1">
      <x:c r="A129" s="551" t="str">
        <x:v>Large-Model Systems</x:v>
      </x:c>
      <x:c r="B129" s="552" t="n">
        <x:f>COUNTIF('Resources'!$D$2:$D$1402,$A129)</x:f>
        <x:v>4</x:v>
      </x:c>
      <x:c r="C129" s="552" t="n">
        <x:f>COUNTIFS('Resources'!$D$2:$D$1402,$A129,'Resources'!$B$2:$B$1402,C$1)</x:f>
        <x:v>0</x:v>
      </x:c>
      <x:c r="D129" s="552" t="n">
        <x:f>COUNTIFS('Resources'!$D$2:$D$1402,$A129,'Resources'!$B$2:$B$1402,D$1)</x:f>
        <x:v>1</x:v>
      </x:c>
      <x:c r="E129" s="552" t="n">
        <x:f>COUNTIFS('Resources'!$D$2:$D$1402,$A129,'Resources'!$B$2:$B$1402,E$1)</x:f>
        <x:v>3</x:v>
      </x:c>
    </x:row>
    <x:row r="130" ht="22" customHeight="1">
      <x:c r="A130" s="549" t="str">
        <x:v>Machine Learning / Engineering Practice</x:v>
      </x:c>
      <x:c r="B130" s="550" t="n">
        <x:f>COUNTIF('Resources'!$D$2:$D$1402,$A130)</x:f>
        <x:v>8</x:v>
      </x:c>
      <x:c r="C130" s="550" t="n">
        <x:f>COUNTIFS('Resources'!$D$2:$D$1402,$A130,'Resources'!$B$2:$B$1402,C$1)</x:f>
        <x:v>7</x:v>
      </x:c>
      <x:c r="D130" s="550" t="n">
        <x:f>COUNTIFS('Resources'!$D$2:$D$1402,$A130,'Resources'!$B$2:$B$1402,D$1)</x:f>
        <x:v>0</x:v>
      </x:c>
      <x:c r="E130" s="550" t="n">
        <x:f>COUNTIFS('Resources'!$D$2:$D$1402,$A130,'Resources'!$B$2:$B$1402,E$1)</x:f>
        <x:v>1</x:v>
      </x:c>
    </x:row>
    <x:row r="131" ht="22" customHeight="1">
      <x:c r="A131" s="551" t="str">
        <x:v>Machine Learning Foundations</x:v>
      </x:c>
      <x:c r="B131" s="552" t="n">
        <x:f>COUNTIF('Resources'!$D$2:$D$1402,$A131)</x:f>
        <x:v>26</x:v>
      </x:c>
      <x:c r="C131" s="552" t="n">
        <x:f>COUNTIFS('Resources'!$D$2:$D$1402,$A131,'Resources'!$B$2:$B$1402,C$1)</x:f>
        <x:v>0</x:v>
      </x:c>
      <x:c r="D131" s="552" t="n">
        <x:f>COUNTIFS('Resources'!$D$2:$D$1402,$A131,'Resources'!$B$2:$B$1402,D$1)</x:f>
        <x:v>23</x:v>
      </x:c>
      <x:c r="E131" s="552" t="n">
        <x:f>COUNTIFS('Resources'!$D$2:$D$1402,$A131,'Resources'!$B$2:$B$1402,E$1)</x:f>
        <x:v>3</x:v>
      </x:c>
    </x:row>
    <x:row r="132" ht="22" customHeight="1">
      <x:c r="A132" s="549" t="str">
        <x:v>Machine Learning Research</x:v>
      </x:c>
      <x:c r="B132" s="550" t="n">
        <x:f>COUNTIF('Resources'!$D$2:$D$1402,$A132)</x:f>
        <x:v>4</x:v>
      </x:c>
      <x:c r="C132" s="550" t="n">
        <x:f>COUNTIFS('Resources'!$D$2:$D$1402,$A132,'Resources'!$B$2:$B$1402,C$1)</x:f>
        <x:v>0</x:v>
      </x:c>
      <x:c r="D132" s="550" t="n">
        <x:f>COUNTIFS('Resources'!$D$2:$D$1402,$A132,'Resources'!$B$2:$B$1402,D$1)</x:f>
        <x:v>0</x:v>
      </x:c>
      <x:c r="E132" s="550" t="n">
        <x:f>COUNTIFS('Resources'!$D$2:$D$1402,$A132,'Resources'!$B$2:$B$1402,E$1)</x:f>
        <x:v>4</x:v>
      </x:c>
    </x:row>
    <x:row r="133" ht="22" customHeight="1">
      <x:c r="A133" s="551" t="str">
        <x:v>Mathematical Foundations for AI / Convex Optimization</x:v>
      </x:c>
      <x:c r="B133" s="552" t="n">
        <x:f>COUNTIF('Resources'!$D$2:$D$1402,$A133)</x:f>
        <x:v>5</x:v>
      </x:c>
      <x:c r="C133" s="552" t="n">
        <x:f>COUNTIFS('Resources'!$D$2:$D$1402,$A133,'Resources'!$B$2:$B$1402,C$1)</x:f>
        <x:v>0</x:v>
      </x:c>
      <x:c r="D133" s="552" t="n">
        <x:f>COUNTIFS('Resources'!$D$2:$D$1402,$A133,'Resources'!$B$2:$B$1402,D$1)</x:f>
        <x:v>5</x:v>
      </x:c>
      <x:c r="E133" s="552" t="n">
        <x:f>COUNTIFS('Resources'!$D$2:$D$1402,$A133,'Resources'!$B$2:$B$1402,E$1)</x:f>
        <x:v>0</x:v>
      </x:c>
    </x:row>
    <x:row r="134" ht="22" customHeight="1">
      <x:c r="A134" s="549" t="str">
        <x:v>Mathematical Foundations for AI / Matrix Methods</x:v>
      </x:c>
      <x:c r="B134" s="550" t="n">
        <x:f>COUNTIF('Resources'!$D$2:$D$1402,$A134)</x:f>
        <x:v>34</x:v>
      </x:c>
      <x:c r="C134" s="550" t="n">
        <x:f>COUNTIFS('Resources'!$D$2:$D$1402,$A134,'Resources'!$B$2:$B$1402,C$1)</x:f>
        <x:v>0</x:v>
      </x:c>
      <x:c r="D134" s="550" t="n">
        <x:f>COUNTIFS('Resources'!$D$2:$D$1402,$A134,'Resources'!$B$2:$B$1402,D$1)</x:f>
        <x:v>34</x:v>
      </x:c>
      <x:c r="E134" s="550" t="n">
        <x:f>COUNTIFS('Resources'!$D$2:$D$1402,$A134,'Resources'!$B$2:$B$1402,E$1)</x:f>
        <x:v>0</x:v>
      </x:c>
    </x:row>
    <x:row r="135" ht="22" customHeight="1">
      <x:c r="A135" s="551" t="str">
        <x:v>MLOps / AI Product Engineering</x:v>
      </x:c>
      <x:c r="B135" s="552" t="n">
        <x:f>COUNTIF('Resources'!$D$2:$D$1402,$A135)</x:f>
        <x:v>9</x:v>
      </x:c>
      <x:c r="C135" s="552" t="n">
        <x:f>COUNTIFS('Resources'!$D$2:$D$1402,$A135,'Resources'!$B$2:$B$1402,C$1)</x:f>
        <x:v>0</x:v>
      </x:c>
      <x:c r="D135" s="552" t="n">
        <x:f>COUNTIFS('Resources'!$D$2:$D$1402,$A135,'Resources'!$B$2:$B$1402,D$1)</x:f>
        <x:v>9</x:v>
      </x:c>
      <x:c r="E135" s="552" t="n">
        <x:f>COUNTIFS('Resources'!$D$2:$D$1402,$A135,'Resources'!$B$2:$B$1402,E$1)</x:f>
        <x:v>0</x:v>
      </x:c>
    </x:row>
    <x:row r="136" ht="22" customHeight="1">
      <x:c r="A136" s="549" t="str">
        <x:v>MLOps / Applied AI</x:v>
      </x:c>
      <x:c r="B136" s="550" t="n">
        <x:f>COUNTIF('Resources'!$D$2:$D$1402,$A136)</x:f>
        <x:v>6</x:v>
      </x:c>
      <x:c r="C136" s="550" t="n">
        <x:f>COUNTIFS('Resources'!$D$2:$D$1402,$A136,'Resources'!$B$2:$B$1402,C$1)</x:f>
        <x:v>6</x:v>
      </x:c>
      <x:c r="D136" s="550" t="n">
        <x:f>COUNTIFS('Resources'!$D$2:$D$1402,$A136,'Resources'!$B$2:$B$1402,D$1)</x:f>
        <x:v>0</x:v>
      </x:c>
      <x:c r="E136" s="550" t="n">
        <x:f>COUNTIFS('Resources'!$D$2:$D$1402,$A136,'Resources'!$B$2:$B$1402,E$1)</x:f>
        <x:v>0</x:v>
      </x:c>
    </x:row>
    <x:row r="137" ht="22" customHeight="1">
      <x:c r="A137" s="551" t="str">
        <x:v>Multimodal Generation / World Models</x:v>
      </x:c>
      <x:c r="B137" s="552" t="n">
        <x:f>COUNTIF('Resources'!$D$2:$D$1402,$A137)</x:f>
        <x:v>1</x:v>
      </x:c>
      <x:c r="C137" s="552" t="n">
        <x:f>COUNTIFS('Resources'!$D$2:$D$1402,$A137,'Resources'!$B$2:$B$1402,C$1)</x:f>
        <x:v>0</x:v>
      </x:c>
      <x:c r="D137" s="552" t="n">
        <x:f>COUNTIFS('Resources'!$D$2:$D$1402,$A137,'Resources'!$B$2:$B$1402,D$1)</x:f>
        <x:v>0</x:v>
      </x:c>
      <x:c r="E137" s="552" t="n">
        <x:f>COUNTIFS('Resources'!$D$2:$D$1402,$A137,'Resources'!$B$2:$B$1402,E$1)</x:f>
        <x:v>1</x:v>
      </x:c>
    </x:row>
    <x:row r="138" ht="22" customHeight="1">
      <x:c r="A138" s="549" t="str">
        <x:v>Multimodal Learning</x:v>
      </x:c>
      <x:c r="B138" s="550" t="n">
        <x:f>COUNTIF('Resources'!$D$2:$D$1402,$A138)</x:f>
        <x:v>3</x:v>
      </x:c>
      <x:c r="C138" s="550" t="n">
        <x:f>COUNTIFS('Resources'!$D$2:$D$1402,$A138,'Resources'!$B$2:$B$1402,C$1)</x:f>
        <x:v>0</x:v>
      </x:c>
      <x:c r="D138" s="550" t="n">
        <x:f>COUNTIFS('Resources'!$D$2:$D$1402,$A138,'Resources'!$B$2:$B$1402,D$1)</x:f>
        <x:v>0</x:v>
      </x:c>
      <x:c r="E138" s="550" t="n">
        <x:f>COUNTIFS('Resources'!$D$2:$D$1402,$A138,'Resources'!$B$2:$B$1402,E$1)</x:f>
        <x:v>3</x:v>
      </x:c>
    </x:row>
    <x:row r="139" ht="22" customHeight="1">
      <x:c r="A139" s="551" t="str">
        <x:v>Natural Language Processing</x:v>
      </x:c>
      <x:c r="B139" s="552" t="n">
        <x:f>COUNTIF('Resources'!$D$2:$D$1402,$A139)</x:f>
        <x:v>17</x:v>
      </x:c>
      <x:c r="C139" s="552" t="n">
        <x:f>COUNTIFS('Resources'!$D$2:$D$1402,$A139,'Resources'!$B$2:$B$1402,C$1)</x:f>
        <x:v>0</x:v>
      </x:c>
      <x:c r="D139" s="552" t="n">
        <x:f>COUNTIFS('Resources'!$D$2:$D$1402,$A139,'Resources'!$B$2:$B$1402,D$1)</x:f>
        <x:v>8</x:v>
      </x:c>
      <x:c r="E139" s="552" t="n">
        <x:f>COUNTIFS('Resources'!$D$2:$D$1402,$A139,'Resources'!$B$2:$B$1402,E$1)</x:f>
        <x:v>9</x:v>
      </x:c>
    </x:row>
    <x:row r="140" ht="22" customHeight="1">
      <x:c r="A140" s="549" t="str">
        <x:v>Natural Language Processing / Transformers</x:v>
      </x:c>
      <x:c r="B140" s="550" t="n">
        <x:f>COUNTIF('Resources'!$D$2:$D$1402,$A140)</x:f>
        <x:v>7</x:v>
      </x:c>
      <x:c r="C140" s="550" t="n">
        <x:f>COUNTIFS('Resources'!$D$2:$D$1402,$A140,'Resources'!$B$2:$B$1402,C$1)</x:f>
        <x:v>0</x:v>
      </x:c>
      <x:c r="D140" s="550" t="n">
        <x:f>COUNTIFS('Resources'!$D$2:$D$1402,$A140,'Resources'!$B$2:$B$1402,D$1)</x:f>
        <x:v>5</x:v>
      </x:c>
      <x:c r="E140" s="550" t="n">
        <x:f>COUNTIFS('Resources'!$D$2:$D$1402,$A140,'Resources'!$B$2:$B$1402,E$1)</x:f>
        <x:v>2</x:v>
      </x:c>
    </x:row>
    <x:row r="141" ht="22" customHeight="1">
      <x:c r="A141" s="551" t="str">
        <x:v>Neural Network Foundations</x:v>
      </x:c>
      <x:c r="B141" s="552" t="n">
        <x:f>COUNTIF('Resources'!$D$2:$D$1402,$A141)</x:f>
        <x:v>11</x:v>
      </x:c>
      <x:c r="C141" s="552" t="n">
        <x:f>COUNTIFS('Resources'!$D$2:$D$1402,$A141,'Resources'!$B$2:$B$1402,C$1)</x:f>
        <x:v>0</x:v>
      </x:c>
      <x:c r="D141" s="552" t="n">
        <x:f>COUNTIFS('Resources'!$D$2:$D$1402,$A141,'Resources'!$B$2:$B$1402,D$1)</x:f>
        <x:v>11</x:v>
      </x:c>
      <x:c r="E141" s="552" t="n">
        <x:f>COUNTIFS('Resources'!$D$2:$D$1402,$A141,'Resources'!$B$2:$B$1402,E$1)</x:f>
        <x:v>0</x:v>
      </x:c>
    </x:row>
    <x:row r="142" ht="22" customHeight="1">
      <x:c r="A142" s="549" t="str">
        <x:v>Reinforcement Learning</x:v>
      </x:c>
      <x:c r="B142" s="550" t="n">
        <x:f>COUNTIF('Resources'!$D$2:$D$1402,$A142)</x:f>
        <x:v>17</x:v>
      </x:c>
      <x:c r="C142" s="550" t="n">
        <x:f>COUNTIFS('Resources'!$D$2:$D$1402,$A142,'Resources'!$B$2:$B$1402,C$1)</x:f>
        <x:v>0</x:v>
      </x:c>
      <x:c r="D142" s="550" t="n">
        <x:f>COUNTIFS('Resources'!$D$2:$D$1402,$A142,'Resources'!$B$2:$B$1402,D$1)</x:f>
        <x:v>17</x:v>
      </x:c>
      <x:c r="E142" s="550" t="n">
        <x:f>COUNTIFS('Resources'!$D$2:$D$1402,$A142,'Resources'!$B$2:$B$1402,E$1)</x:f>
        <x:v>0</x:v>
      </x:c>
    </x:row>
    <x:row r="143" ht="22" customHeight="1">
      <x:c r="A143" s="551" t="str">
        <x:v>Reinforcement Learning / Planning</x:v>
      </x:c>
      <x:c r="B143" s="552" t="n">
        <x:f>COUNTIF('Resources'!$D$2:$D$1402,$A143)</x:f>
        <x:v>1</x:v>
      </x:c>
      <x:c r="C143" s="552" t="n">
        <x:f>COUNTIFS('Resources'!$D$2:$D$1402,$A143,'Resources'!$B$2:$B$1402,C$1)</x:f>
        <x:v>0</x:v>
      </x:c>
      <x:c r="D143" s="552" t="n">
        <x:f>COUNTIFS('Resources'!$D$2:$D$1402,$A143,'Resources'!$B$2:$B$1402,D$1)</x:f>
        <x:v>1</x:v>
      </x:c>
      <x:c r="E143" s="552" t="n">
        <x:f>COUNTIFS('Resources'!$D$2:$D$1402,$A143,'Resources'!$B$2:$B$1402,E$1)</x:f>
        <x:v>0</x:v>
      </x:c>
    </x:row>
    <x:row r="144" ht="22" customHeight="1">
      <x:c r="A144" s="549" t="str">
        <x:v>Representation Learning / Generative Models</x:v>
      </x:c>
      <x:c r="B144" s="550" t="n">
        <x:f>COUNTIF('Resources'!$D$2:$D$1402,$A144)</x:f>
        <x:v>6</x:v>
      </x:c>
      <x:c r="C144" s="550" t="n">
        <x:f>COUNTIFS('Resources'!$D$2:$D$1402,$A144,'Resources'!$B$2:$B$1402,C$1)</x:f>
        <x:v>0</x:v>
      </x:c>
      <x:c r="D144" s="550" t="n">
        <x:f>COUNTIFS('Resources'!$D$2:$D$1402,$A144,'Resources'!$B$2:$B$1402,D$1)</x:f>
        <x:v>0</x:v>
      </x:c>
      <x:c r="E144" s="550" t="n">
        <x:f>COUNTIFS('Resources'!$D$2:$D$1402,$A144,'Resources'!$B$2:$B$1402,E$1)</x:f>
        <x:v>6</x:v>
      </x:c>
    </x:row>
    <x:row r="145" ht="22" customHeight="1">
      <x:c r="A145" s="551" t="str">
        <x:v>Research Communication / Speaking</x:v>
      </x:c>
      <x:c r="B145" s="552" t="n">
        <x:f>COUNTIF('Resources'!$D$2:$D$1402,$A145)</x:f>
        <x:v>2</x:v>
      </x:c>
      <x:c r="C145" s="552" t="n">
        <x:f>COUNTIFS('Resources'!$D$2:$D$1402,$A145,'Resources'!$B$2:$B$1402,C$1)</x:f>
        <x:v>0</x:v>
      </x:c>
      <x:c r="D145" s="552" t="n">
        <x:f>COUNTIFS('Resources'!$D$2:$D$1402,$A145,'Resources'!$B$2:$B$1402,D$1)</x:f>
        <x:v>0</x:v>
      </x:c>
      <x:c r="E145" s="552" t="n">
        <x:f>COUNTIFS('Resources'!$D$2:$D$1402,$A145,'Resources'!$B$2:$B$1402,E$1)</x:f>
        <x:v>2</x:v>
      </x:c>
    </x:row>
    <x:row r="146" ht="22" customHeight="1">
      <x:c r="A146" s="549" t="str">
        <x:v>Research Communication / Writing</x:v>
      </x:c>
      <x:c r="B146" s="550" t="n">
        <x:f>COUNTIF('Resources'!$D$2:$D$1402,$A146)</x:f>
        <x:v>1</x:v>
      </x:c>
      <x:c r="C146" s="550" t="n">
        <x:f>COUNTIFS('Resources'!$D$2:$D$1402,$A146,'Resources'!$B$2:$B$1402,C$1)</x:f>
        <x:v>0</x:v>
      </x:c>
      <x:c r="D146" s="550" t="n">
        <x:f>COUNTIFS('Resources'!$D$2:$D$1402,$A146,'Resources'!$B$2:$B$1402,D$1)</x:f>
        <x:v>0</x:v>
      </x:c>
      <x:c r="E146" s="550" t="n">
        <x:f>COUNTIFS('Resources'!$D$2:$D$1402,$A146,'Resources'!$B$2:$B$1402,E$1)</x:f>
        <x:v>1</x:v>
      </x:c>
    </x:row>
    <x:row r="147">
      <x:c r="A147" t="str">
        <x:v>Research Methods / Experimental Design</x:v>
      </x:c>
      <x:c r="B147" t="n">
        <x:f>COUNTIF('Resources'!$D$2:$D$1402,$A147)</x:f>
        <x:v>1</x:v>
      </x:c>
      <x:c r="C147" t="n">
        <x:f>COUNTIFS('Resources'!$D$2:$D$1402,$A147,'Resources'!$B$2:$B$1402,C$1)</x:f>
        <x:v>0</x:v>
      </x:c>
      <x:c r="D147" t="n">
        <x:f>COUNTIFS('Resources'!$D$2:$D$1402,$A147,'Resources'!$B$2:$B$1402,D$1)</x:f>
        <x:v>1</x:v>
      </x:c>
      <x:c r="E147" t="n">
        <x:f>COUNTIFS('Resources'!$D$2:$D$1402,$A147,'Resources'!$B$2:$B$1402,E$1)</x:f>
        <x:v>0</x:v>
      </x:c>
    </x:row>
    <x:row r="148">
      <x:c r="A148" t="str">
        <x:v>Research Practice / Career</x:v>
      </x:c>
      <x:c r="B148" t="n">
        <x:f>COUNTIF('Resources'!$D$2:$D$1402,$A148)</x:f>
        <x:v>34</x:v>
      </x:c>
      <x:c r="C148" t="n">
        <x:f>COUNTIFS('Resources'!$D$2:$D$1402,$A148,'Resources'!$B$2:$B$1402,C$1)</x:f>
        <x:v>1</x:v>
      </x:c>
      <x:c r="D148" t="n">
        <x:f>COUNTIFS('Resources'!$D$2:$D$1402,$A148,'Resources'!$B$2:$B$1402,D$1)</x:f>
        <x:v>31</x:v>
      </x:c>
      <x:c r="E148" t="n">
        <x:f>COUNTIFS('Resources'!$D$2:$D$1402,$A148,'Resources'!$B$2:$B$1402,E$1)</x:f>
        <x:v>2</x:v>
      </x:c>
    </x:row>
    <x:row r="149">
      <x:c r="A149" t="str">
        <x:v>Research Practice / Evaluation</x:v>
      </x:c>
      <x:c r="B149" t="n">
        <x:f>COUNTIF('Resources'!$D$2:$D$1402,$A149)</x:f>
        <x:v>1</x:v>
      </x:c>
      <x:c r="C149" t="n">
        <x:f>COUNTIFS('Resources'!$D$2:$D$1402,$A149,'Resources'!$B$2:$B$1402,C$1)</x:f>
        <x:v>0</x:v>
      </x:c>
      <x:c r="D149" t="n">
        <x:f>COUNTIFS('Resources'!$D$2:$D$1402,$A149,'Resources'!$B$2:$B$1402,D$1)</x:f>
        <x:v>1</x:v>
      </x:c>
      <x:c r="E149" t="n">
        <x:f>COUNTIFS('Resources'!$D$2:$D$1402,$A149,'Resources'!$B$2:$B$1402,E$1)</x:f>
        <x:v>0</x:v>
      </x:c>
    </x:row>
    <x:row r="150">
      <x:c r="A150" t="str">
        <x:v>Research Practice / Funding</x:v>
      </x:c>
      <x:c r="B150" t="n">
        <x:f>COUNTIF('Resources'!$D$2:$D$1402,$A150)</x:f>
        <x:v>1</x:v>
      </x:c>
      <x:c r="C150" t="n">
        <x:f>COUNTIFS('Resources'!$D$2:$D$1402,$A150,'Resources'!$B$2:$B$1402,C$1)</x:f>
        <x:v>0</x:v>
      </x:c>
      <x:c r="D150" t="n">
        <x:f>COUNTIFS('Resources'!$D$2:$D$1402,$A150,'Resources'!$B$2:$B$1402,D$1)</x:f>
        <x:v>0</x:v>
      </x:c>
      <x:c r="E150" t="n">
        <x:f>COUNTIFS('Resources'!$D$2:$D$1402,$A150,'Resources'!$B$2:$B$1402,E$1)</x:f>
        <x:v>1</x:v>
      </x:c>
    </x:row>
    <x:row r="151">
      <x:c r="A151" t="str">
        <x:v>Research Practice / Literature Management</x:v>
      </x:c>
      <x:c r="B151" t="n">
        <x:f>COUNTIF('Resources'!$D$2:$D$1402,$A151)</x:f>
        <x:v>1</x:v>
      </x:c>
      <x:c r="C151" t="n">
        <x:f>COUNTIFS('Resources'!$D$2:$D$1402,$A151,'Resources'!$B$2:$B$1402,C$1)</x:f>
        <x:v>0</x:v>
      </x:c>
      <x:c r="D151" t="n">
        <x:f>COUNTIFS('Resources'!$D$2:$D$1402,$A151,'Resources'!$B$2:$B$1402,D$1)</x:f>
        <x:v>1</x:v>
      </x:c>
      <x:c r="E151" t="n">
        <x:f>COUNTIFS('Resources'!$D$2:$D$1402,$A151,'Resources'!$B$2:$B$1402,E$1)</x:f>
        <x:v>0</x:v>
      </x:c>
    </x:row>
    <x:row r="152">
      <x:c r="A152" t="str">
        <x:v>Research Practice / Literature Review</x:v>
      </x:c>
      <x:c r="B152" t="n">
        <x:f>COUNTIF('Resources'!$D$2:$D$1402,$A152)</x:f>
        <x:v>2</x:v>
      </x:c>
      <x:c r="C152" t="n">
        <x:f>COUNTIFS('Resources'!$D$2:$D$1402,$A152,'Resources'!$B$2:$B$1402,C$1)</x:f>
        <x:v>0</x:v>
      </x:c>
      <x:c r="D152" t="n">
        <x:f>COUNTIFS('Resources'!$D$2:$D$1402,$A152,'Resources'!$B$2:$B$1402,D$1)</x:f>
        <x:v>2</x:v>
      </x:c>
      <x:c r="E152" t="n">
        <x:f>COUNTIFS('Resources'!$D$2:$D$1402,$A152,'Resources'!$B$2:$B$1402,E$1)</x:f>
        <x:v>0</x:v>
      </x:c>
    </x:row>
    <x:row r="153">
      <x:c r="A153" t="str">
        <x:v>Research Practice / Literature Search</x:v>
      </x:c>
      <x:c r="B153" t="n">
        <x:f>COUNTIF('Resources'!$D$2:$D$1402,$A153)</x:f>
        <x:v>1</x:v>
      </x:c>
      <x:c r="C153" t="n">
        <x:f>COUNTIFS('Resources'!$D$2:$D$1402,$A153,'Resources'!$B$2:$B$1402,C$1)</x:f>
        <x:v>0</x:v>
      </x:c>
      <x:c r="D153" t="n">
        <x:f>COUNTIFS('Resources'!$D$2:$D$1402,$A153,'Resources'!$B$2:$B$1402,D$1)</x:f>
        <x:v>1</x:v>
      </x:c>
      <x:c r="E153" t="n">
        <x:f>COUNTIFS('Resources'!$D$2:$D$1402,$A153,'Resources'!$B$2:$B$1402,E$1)</x:f>
        <x:v>0</x:v>
      </x:c>
    </x:row>
    <x:row r="154">
      <x:c r="A154" t="str">
        <x:v>Research Practice / Novelty</x:v>
      </x:c>
      <x:c r="B154" t="n">
        <x:f>COUNTIF('Resources'!$D$2:$D$1402,$A154)</x:f>
        <x:v>1</x:v>
      </x:c>
      <x:c r="C154" t="n">
        <x:f>COUNTIFS('Resources'!$D$2:$D$1402,$A154,'Resources'!$B$2:$B$1402,C$1)</x:f>
        <x:v>0</x:v>
      </x:c>
      <x:c r="D154" t="n">
        <x:f>COUNTIFS('Resources'!$D$2:$D$1402,$A154,'Resources'!$B$2:$B$1402,D$1)</x:f>
        <x:v>1</x:v>
      </x:c>
      <x:c r="E154" t="n">
        <x:f>COUNTIFS('Resources'!$D$2:$D$1402,$A154,'Resources'!$B$2:$B$1402,E$1)</x:f>
        <x:v>0</x:v>
      </x:c>
    </x:row>
    <x:row r="155">
      <x:c r="A155" t="str">
        <x:v>Research Practice / Peer Review</x:v>
      </x:c>
      <x:c r="B155" t="n">
        <x:f>COUNTIF('Resources'!$D$2:$D$1402,$A155)</x:f>
        <x:v>2</x:v>
      </x:c>
      <x:c r="C155" t="n">
        <x:f>COUNTIFS('Resources'!$D$2:$D$1402,$A155,'Resources'!$B$2:$B$1402,C$1)</x:f>
        <x:v>0</x:v>
      </x:c>
      <x:c r="D155" t="n">
        <x:f>COUNTIFS('Resources'!$D$2:$D$1402,$A155,'Resources'!$B$2:$B$1402,D$1)</x:f>
        <x:v>2</x:v>
      </x:c>
      <x:c r="E155" t="n">
        <x:f>COUNTIFS('Resources'!$D$2:$D$1402,$A155,'Resources'!$B$2:$B$1402,E$1)</x:f>
        <x:v>0</x:v>
      </x:c>
    </x:row>
    <x:row r="156">
      <x:c r="A156" t="str">
        <x:v>Research Practice / Presentation</x:v>
      </x:c>
      <x:c r="B156" t="n">
        <x:f>COUNTIF('Resources'!$D$2:$D$1402,$A156)</x:f>
        <x:v>3</x:v>
      </x:c>
      <x:c r="C156" t="n">
        <x:f>COUNTIFS('Resources'!$D$2:$D$1402,$A156,'Resources'!$B$2:$B$1402,C$1)</x:f>
        <x:v>0</x:v>
      </x:c>
      <x:c r="D156" t="n">
        <x:f>COUNTIFS('Resources'!$D$2:$D$1402,$A156,'Resources'!$B$2:$B$1402,D$1)</x:f>
        <x:v>1</x:v>
      </x:c>
      <x:c r="E156" t="n">
        <x:f>COUNTIFS('Resources'!$D$2:$D$1402,$A156,'Resources'!$B$2:$B$1402,E$1)</x:f>
        <x:v>2</x:v>
      </x:c>
    </x:row>
    <x:row r="157">
      <x:c r="A157" t="str">
        <x:v>Research Practice / Problem Selection</x:v>
      </x:c>
      <x:c r="B157" t="n">
        <x:f>COUNTIF('Resources'!$D$2:$D$1402,$A157)</x:f>
        <x:v>4</x:v>
      </x:c>
      <x:c r="C157" t="n">
        <x:f>COUNTIFS('Resources'!$D$2:$D$1402,$A157,'Resources'!$B$2:$B$1402,C$1)</x:f>
        <x:v>0</x:v>
      </x:c>
      <x:c r="D157" t="n">
        <x:f>COUNTIFS('Resources'!$D$2:$D$1402,$A157,'Resources'!$B$2:$B$1402,D$1)</x:f>
        <x:v>4</x:v>
      </x:c>
      <x:c r="E157" t="n">
        <x:f>COUNTIFS('Resources'!$D$2:$D$1402,$A157,'Resources'!$B$2:$B$1402,E$1)</x:f>
        <x:v>0</x:v>
      </x:c>
    </x:row>
    <x:row r="158">
      <x:c r="A158" t="str">
        <x:v>Research Practice / Reading Papers</x:v>
      </x:c>
      <x:c r="B158" t="n">
        <x:f>COUNTIF('Resources'!$D$2:$D$1402,$A158)</x:f>
        <x:v>2</x:v>
      </x:c>
      <x:c r="C158" t="n">
        <x:f>COUNTIFS('Resources'!$D$2:$D$1402,$A158,'Resources'!$B$2:$B$1402,C$1)</x:f>
        <x:v>0</x:v>
      </x:c>
      <x:c r="D158" t="n">
        <x:f>COUNTIFS('Resources'!$D$2:$D$1402,$A158,'Resources'!$B$2:$B$1402,D$1)</x:f>
        <x:v>2</x:v>
      </x:c>
      <x:c r="E158" t="n">
        <x:f>COUNTIFS('Resources'!$D$2:$D$1402,$A158,'Resources'!$B$2:$B$1402,E$1)</x:f>
        <x:v>0</x:v>
      </x:c>
    </x:row>
    <x:row r="159">
      <x:c r="A159" t="str">
        <x:v>Research Practice / Research Community</x:v>
      </x:c>
      <x:c r="B159" t="n">
        <x:f>COUNTIF('Resources'!$D$2:$D$1402,$A159)</x:f>
        <x:v>3</x:v>
      </x:c>
      <x:c r="C159" t="n">
        <x:f>COUNTIFS('Resources'!$D$2:$D$1402,$A159,'Resources'!$B$2:$B$1402,C$1)</x:f>
        <x:v>0</x:v>
      </x:c>
      <x:c r="D159" t="n">
        <x:f>COUNTIFS('Resources'!$D$2:$D$1402,$A159,'Resources'!$B$2:$B$1402,D$1)</x:f>
        <x:v>3</x:v>
      </x:c>
      <x:c r="E159" t="n">
        <x:f>COUNTIFS('Resources'!$D$2:$D$1402,$A159,'Resources'!$B$2:$B$1402,E$1)</x:f>
        <x:v>0</x:v>
      </x:c>
    </x:row>
    <x:row r="160">
      <x:c r="A160" t="str">
        <x:v>Research Practice / Research Culture</x:v>
      </x:c>
      <x:c r="B160" t="n">
        <x:f>COUNTIF('Resources'!$D$2:$D$1402,$A160)</x:f>
        <x:v>1</x:v>
      </x:c>
      <x:c r="C160" t="n">
        <x:f>COUNTIFS('Resources'!$D$2:$D$1402,$A160,'Resources'!$B$2:$B$1402,C$1)</x:f>
        <x:v>0</x:v>
      </x:c>
      <x:c r="D160" t="n">
        <x:f>COUNTIFS('Resources'!$D$2:$D$1402,$A160,'Resources'!$B$2:$B$1402,D$1)</x:f>
        <x:v>0</x:v>
      </x:c>
      <x:c r="E160" t="n">
        <x:f>COUNTIFS('Resources'!$D$2:$D$1402,$A160,'Resources'!$B$2:$B$1402,E$1)</x:f>
        <x:v>1</x:v>
      </x:c>
    </x:row>
    <x:row r="161">
      <x:c r="A161" t="str">
        <x:v>Research Practice / Scientific Writing</x:v>
      </x:c>
      <x:c r="B161" t="n">
        <x:f>COUNTIF('Resources'!$D$2:$D$1402,$A161)</x:f>
        <x:v>3</x:v>
      </x:c>
      <x:c r="C161" t="n">
        <x:f>COUNTIFS('Resources'!$D$2:$D$1402,$A161,'Resources'!$B$2:$B$1402,C$1)</x:f>
        <x:v>0</x:v>
      </x:c>
      <x:c r="D161" t="n">
        <x:f>COUNTIFS('Resources'!$D$2:$D$1402,$A161,'Resources'!$B$2:$B$1402,D$1)</x:f>
        <x:v>2</x:v>
      </x:c>
      <x:c r="E161" t="n">
        <x:f>COUNTIFS('Resources'!$D$2:$D$1402,$A161,'Resources'!$B$2:$B$1402,E$1)</x:f>
        <x:v>1</x:v>
      </x:c>
    </x:row>
    <x:row r="162">
      <x:c r="A162" t="str">
        <x:v>Research Practice / Wellbeing</x:v>
      </x:c>
      <x:c r="B162" t="n">
        <x:f>COUNTIF('Resources'!$D$2:$D$1402,$A162)</x:f>
        <x:v>1</x:v>
      </x:c>
      <x:c r="C162" t="n">
        <x:f>COUNTIFS('Resources'!$D$2:$D$1402,$A162,'Resources'!$B$2:$B$1402,C$1)</x:f>
        <x:v>0</x:v>
      </x:c>
      <x:c r="D162" t="n">
        <x:f>COUNTIFS('Resources'!$D$2:$D$1402,$A162,'Resources'!$B$2:$B$1402,D$1)</x:f>
        <x:v>1</x:v>
      </x:c>
      <x:c r="E162" t="n">
        <x:f>COUNTIFS('Resources'!$D$2:$D$1402,$A162,'Resources'!$B$2:$B$1402,E$1)</x:f>
        <x:v>0</x:v>
      </x:c>
    </x:row>
    <x:row r="163">
      <x:c r="A163" t="str">
        <x:v>Research Practice / Writing</x:v>
      </x:c>
      <x:c r="B163" t="n">
        <x:f>COUNTIF('Resources'!$D$2:$D$1402,$A163)</x:f>
        <x:v>1</x:v>
      </x:c>
      <x:c r="C163" t="n">
        <x:f>COUNTIFS('Resources'!$D$2:$D$1402,$A163,'Resources'!$B$2:$B$1402,C$1)</x:f>
        <x:v>0</x:v>
      </x:c>
      <x:c r="D163" t="n">
        <x:f>COUNTIFS('Resources'!$D$2:$D$1402,$A163,'Resources'!$B$2:$B$1402,D$1)</x:f>
        <x:v>0</x:v>
      </x:c>
      <x:c r="E163" t="n">
        <x:f>COUNTIFS('Resources'!$D$2:$D$1402,$A163,'Resources'!$B$2:$B$1402,E$1)</x:f>
        <x:v>1</x:v>
      </x:c>
    </x:row>
    <x:row r="164">
      <x:c r="A164" t="str">
        <x:v>Robotics / Autonomous Aviation</x:v>
      </x:c>
      <x:c r="B164" t="n">
        <x:f>COUNTIF('Resources'!$D$2:$D$1402,$A164)</x:f>
        <x:v>1</x:v>
      </x:c>
      <x:c r="C164" t="n">
        <x:f>COUNTIFS('Resources'!$D$2:$D$1402,$A164,'Resources'!$B$2:$B$1402,C$1)</x:f>
        <x:v>1</x:v>
      </x:c>
      <x:c r="D164" t="n">
        <x:f>COUNTIFS('Resources'!$D$2:$D$1402,$A164,'Resources'!$B$2:$B$1402,D$1)</x:f>
        <x:v>0</x:v>
      </x:c>
      <x:c r="E164" t="n">
        <x:f>COUNTIFS('Resources'!$D$2:$D$1402,$A164,'Resources'!$B$2:$B$1402,E$1)</x:f>
        <x:v>0</x:v>
      </x:c>
    </x:row>
    <x:row r="165">
      <x:c r="A165" t="str">
        <x:v>Robotics / Autonomous Drones</x:v>
      </x:c>
      <x:c r="B165" t="n">
        <x:f>COUNTIF('Resources'!$D$2:$D$1402,$A165)</x:f>
        <x:v>1</x:v>
      </x:c>
      <x:c r="C165" t="n">
        <x:f>COUNTIFS('Resources'!$D$2:$D$1402,$A165,'Resources'!$B$2:$B$1402,C$1)</x:f>
        <x:v>0</x:v>
      </x:c>
      <x:c r="D165" t="n">
        <x:f>COUNTIFS('Resources'!$D$2:$D$1402,$A165,'Resources'!$B$2:$B$1402,D$1)</x:f>
        <x:v>0</x:v>
      </x:c>
      <x:c r="E165" t="n">
        <x:f>COUNTIFS('Resources'!$D$2:$D$1402,$A165,'Resources'!$B$2:$B$1402,E$1)</x:f>
        <x:v>1</x:v>
      </x:c>
    </x:row>
    <x:row r="166">
      <x:c r="A166" t="str">
        <x:v>Robotics / Autonomous Mobility</x:v>
      </x:c>
      <x:c r="B166" t="n">
        <x:f>COUNTIF('Resources'!$D$2:$D$1402,$A166)</x:f>
        <x:v>1</x:v>
      </x:c>
      <x:c r="C166" t="n">
        <x:f>COUNTIFS('Resources'!$D$2:$D$1402,$A166,'Resources'!$B$2:$B$1402,C$1)</x:f>
        <x:v>0</x:v>
      </x:c>
      <x:c r="D166" t="n">
        <x:f>COUNTIFS('Resources'!$D$2:$D$1402,$A166,'Resources'!$B$2:$B$1402,D$1)</x:f>
        <x:v>0</x:v>
      </x:c>
      <x:c r="E166" t="n">
        <x:f>COUNTIFS('Resources'!$D$2:$D$1402,$A166,'Resources'!$B$2:$B$1402,E$1)</x:f>
        <x:v>1</x:v>
      </x:c>
    </x:row>
    <x:row r="167">
      <x:c r="A167" t="str">
        <x:v>Robotics / Contact-Rich Manipulation</x:v>
      </x:c>
      <x:c r="B167" t="n">
        <x:f>COUNTIF('Resources'!$D$2:$D$1402,$A167)</x:f>
        <x:v>1</x:v>
      </x:c>
      <x:c r="C167" t="n">
        <x:f>COUNTIFS('Resources'!$D$2:$D$1402,$A167,'Resources'!$B$2:$B$1402,C$1)</x:f>
        <x:v>0</x:v>
      </x:c>
      <x:c r="D167" t="n">
        <x:f>COUNTIFS('Resources'!$D$2:$D$1402,$A167,'Resources'!$B$2:$B$1402,D$1)</x:f>
        <x:v>0</x:v>
      </x:c>
      <x:c r="E167" t="n">
        <x:f>COUNTIFS('Resources'!$D$2:$D$1402,$A167,'Resources'!$B$2:$B$1402,E$1)</x:f>
        <x:v>1</x:v>
      </x:c>
    </x:row>
    <x:row r="168">
      <x:c r="A168" t="str">
        <x:v>Robotics / Data Infrastructure</x:v>
      </x:c>
      <x:c r="B168" t="n">
        <x:f>COUNTIF('Resources'!$D$2:$D$1402,$A168)</x:f>
        <x:v>1</x:v>
      </x:c>
      <x:c r="C168" t="n">
        <x:f>COUNTIFS('Resources'!$D$2:$D$1402,$A168,'Resources'!$B$2:$B$1402,C$1)</x:f>
        <x:v>0</x:v>
      </x:c>
      <x:c r="D168" t="n">
        <x:f>COUNTIFS('Resources'!$D$2:$D$1402,$A168,'Resources'!$B$2:$B$1402,D$1)</x:f>
        <x:v>0</x:v>
      </x:c>
      <x:c r="E168" t="n">
        <x:f>COUNTIFS('Resources'!$D$2:$D$1402,$A168,'Resources'!$B$2:$B$1402,E$1)</x:f>
        <x:v>1</x:v>
      </x:c>
    </x:row>
    <x:row r="169">
      <x:c r="A169" t="str">
        <x:v>Robotics / Embodied AI</x:v>
      </x:c>
      <x:c r="B169" t="n">
        <x:f>COUNTIF('Resources'!$D$2:$D$1402,$A169)</x:f>
        <x:v>212</x:v>
      </x:c>
      <x:c r="C169" t="n">
        <x:f>COUNTIFS('Resources'!$D$2:$D$1402,$A169,'Resources'!$B$2:$B$1402,C$1)</x:f>
        <x:v>53</x:v>
      </x:c>
      <x:c r="D169" t="n">
        <x:f>COUNTIFS('Resources'!$D$2:$D$1402,$A169,'Resources'!$B$2:$B$1402,D$1)</x:f>
        <x:v>84</x:v>
      </x:c>
      <x:c r="E169" t="n">
        <x:f>COUNTIFS('Resources'!$D$2:$D$1402,$A169,'Resources'!$B$2:$B$1402,E$1)</x:f>
        <x:v>75</x:v>
      </x:c>
    </x:row>
    <x:row r="170">
      <x:c r="A170" t="str">
        <x:v>Robotics / Humanoid Control</x:v>
      </x:c>
      <x:c r="B170" t="n">
        <x:f>COUNTIF('Resources'!$D$2:$D$1402,$A170)</x:f>
        <x:v>1</x:v>
      </x:c>
      <x:c r="C170" t="n">
        <x:f>COUNTIFS('Resources'!$D$2:$D$1402,$A170,'Resources'!$B$2:$B$1402,C$1)</x:f>
        <x:v>0</x:v>
      </x:c>
      <x:c r="D170" t="n">
        <x:f>COUNTIFS('Resources'!$D$2:$D$1402,$A170,'Resources'!$B$2:$B$1402,D$1)</x:f>
        <x:v>0</x:v>
      </x:c>
      <x:c r="E170" t="n">
        <x:f>COUNTIFS('Resources'!$D$2:$D$1402,$A170,'Resources'!$B$2:$B$1402,E$1)</x:f>
        <x:v>1</x:v>
      </x:c>
    </x:row>
    <x:row r="171">
      <x:c r="A171" t="str">
        <x:v>Robotics / Humanoid Motion</x:v>
      </x:c>
      <x:c r="B171" t="n">
        <x:f>COUNTIF('Resources'!$D$2:$D$1402,$A171)</x:f>
        <x:v>1</x:v>
      </x:c>
      <x:c r="C171" t="n">
        <x:f>COUNTIFS('Resources'!$D$2:$D$1402,$A171,'Resources'!$B$2:$B$1402,C$1)</x:f>
        <x:v>0</x:v>
      </x:c>
      <x:c r="D171" t="n">
        <x:f>COUNTIFS('Resources'!$D$2:$D$1402,$A171,'Resources'!$B$2:$B$1402,D$1)</x:f>
        <x:v>0</x:v>
      </x:c>
      <x:c r="E171" t="n">
        <x:f>COUNTIFS('Resources'!$D$2:$D$1402,$A171,'Resources'!$B$2:$B$1402,E$1)</x:f>
        <x:v>1</x:v>
      </x:c>
    </x:row>
    <x:row r="172">
      <x:c r="A172" t="str">
        <x:v>Robotics / Imitation Learning</x:v>
      </x:c>
      <x:c r="B172" t="n">
        <x:f>COUNTIF('Resources'!$D$2:$D$1402,$A172)</x:f>
        <x:v>1</x:v>
      </x:c>
      <x:c r="C172" t="n">
        <x:f>COUNTIFS('Resources'!$D$2:$D$1402,$A172,'Resources'!$B$2:$B$1402,C$1)</x:f>
        <x:v>0</x:v>
      </x:c>
      <x:c r="D172" t="n">
        <x:f>COUNTIFS('Resources'!$D$2:$D$1402,$A172,'Resources'!$B$2:$B$1402,D$1)</x:f>
        <x:v>0</x:v>
      </x:c>
      <x:c r="E172" t="n">
        <x:f>COUNTIFS('Resources'!$D$2:$D$1402,$A172,'Resources'!$B$2:$B$1402,E$1)</x:f>
        <x:v>1</x:v>
      </x:c>
    </x:row>
    <x:row r="173">
      <x:c r="A173" t="str">
        <x:v>Robotics / In-Context Learning</x:v>
      </x:c>
      <x:c r="B173" t="n">
        <x:f>COUNTIF('Resources'!$D$2:$D$1402,$A173)</x:f>
        <x:v>1</x:v>
      </x:c>
      <x:c r="C173" t="n">
        <x:f>COUNTIFS('Resources'!$D$2:$D$1402,$A173,'Resources'!$B$2:$B$1402,C$1)</x:f>
        <x:v>0</x:v>
      </x:c>
      <x:c r="D173" t="n">
        <x:f>COUNTIFS('Resources'!$D$2:$D$1402,$A173,'Resources'!$B$2:$B$1402,D$1)</x:f>
        <x:v>0</x:v>
      </x:c>
      <x:c r="E173" t="n">
        <x:f>COUNTIFS('Resources'!$D$2:$D$1402,$A173,'Resources'!$B$2:$B$1402,E$1)</x:f>
        <x:v>1</x:v>
      </x:c>
    </x:row>
    <x:row r="174">
      <x:c r="A174" t="str">
        <x:v>Robotics / Paper Walkthroughs</x:v>
      </x:c>
      <x:c r="B174" t="n">
        <x:f>COUNTIF('Resources'!$D$2:$D$1402,$A174)</x:f>
        <x:v>7</x:v>
      </x:c>
      <x:c r="C174" t="n">
        <x:f>COUNTIFS('Resources'!$D$2:$D$1402,$A174,'Resources'!$B$2:$B$1402,C$1)</x:f>
        <x:v>0</x:v>
      </x:c>
      <x:c r="D174" t="n">
        <x:f>COUNTIFS('Resources'!$D$2:$D$1402,$A174,'Resources'!$B$2:$B$1402,D$1)</x:f>
        <x:v>7</x:v>
      </x:c>
      <x:c r="E174" t="n">
        <x:f>COUNTIFS('Resources'!$D$2:$D$1402,$A174,'Resources'!$B$2:$B$1402,E$1)</x:f>
        <x:v>0</x:v>
      </x:c>
    </x:row>
    <x:row r="175">
      <x:c r="A175" t="str">
        <x:v>Robotics / Physical AI</x:v>
      </x:c>
      <x:c r="B175" t="n">
        <x:f>COUNTIF('Resources'!$D$2:$D$1402,$A175)</x:f>
        <x:v>1</x:v>
      </x:c>
      <x:c r="C175" t="n">
        <x:f>COUNTIFS('Resources'!$D$2:$D$1402,$A175,'Resources'!$B$2:$B$1402,C$1)</x:f>
        <x:v>0</x:v>
      </x:c>
      <x:c r="D175" t="n">
        <x:f>COUNTIFS('Resources'!$D$2:$D$1402,$A175,'Resources'!$B$2:$B$1402,D$1)</x:f>
        <x:v>0</x:v>
      </x:c>
      <x:c r="E175" t="n">
        <x:f>COUNTIFS('Resources'!$D$2:$D$1402,$A175,'Resources'!$B$2:$B$1402,E$1)</x:f>
        <x:v>1</x:v>
      </x:c>
    </x:row>
    <x:row r="176">
      <x:c r="A176" t="str">
        <x:v>Robotics / Robot Learning</x:v>
      </x:c>
      <x:c r="B176" t="n">
        <x:f>COUNTIF('Resources'!$D$2:$D$1402,$A176)</x:f>
        <x:v>1</x:v>
      </x:c>
      <x:c r="C176" t="n">
        <x:f>COUNTIFS('Resources'!$D$2:$D$1402,$A176,'Resources'!$B$2:$B$1402,C$1)</x:f>
        <x:v>0</x:v>
      </x:c>
      <x:c r="D176" t="n">
        <x:f>COUNTIFS('Resources'!$D$2:$D$1402,$A176,'Resources'!$B$2:$B$1402,D$1)</x:f>
        <x:v>1</x:v>
      </x:c>
      <x:c r="E176" t="n">
        <x:f>COUNTIFS('Resources'!$D$2:$D$1402,$A176,'Resources'!$B$2:$B$1402,E$1)</x:f>
        <x:v>0</x:v>
      </x:c>
    </x:row>
    <x:row r="177">
      <x:c r="A177" t="str">
        <x:v>Robotics / ROS2 / Embodied AI</x:v>
      </x:c>
      <x:c r="B177" t="n">
        <x:f>COUNTIF('Resources'!$D$2:$D$1402,$A177)</x:f>
        <x:v>1</x:v>
      </x:c>
      <x:c r="C177" t="n">
        <x:f>COUNTIFS('Resources'!$D$2:$D$1402,$A177,'Resources'!$B$2:$B$1402,C$1)</x:f>
        <x:v>0</x:v>
      </x:c>
      <x:c r="D177" t="n">
        <x:f>COUNTIFS('Resources'!$D$2:$D$1402,$A177,'Resources'!$B$2:$B$1402,D$1)</x:f>
        <x:v>1</x:v>
      </x:c>
      <x:c r="E177" t="n">
        <x:f>COUNTIFS('Resources'!$D$2:$D$1402,$A177,'Resources'!$B$2:$B$1402,E$1)</x:f>
        <x:v>0</x:v>
      </x:c>
    </x:row>
    <x:row r="178">
      <x:c r="A178" t="str">
        <x:v>Robotics / Sim-to-Real</x:v>
      </x:c>
      <x:c r="B178" t="n">
        <x:f>COUNTIF('Resources'!$D$2:$D$1402,$A178)</x:f>
        <x:v>1</x:v>
      </x:c>
      <x:c r="C178" t="n">
        <x:f>COUNTIFS('Resources'!$D$2:$D$1402,$A178,'Resources'!$B$2:$B$1402,C$1)</x:f>
        <x:v>0</x:v>
      </x:c>
      <x:c r="D178" t="n">
        <x:f>COUNTIFS('Resources'!$D$2:$D$1402,$A178,'Resources'!$B$2:$B$1402,D$1)</x:f>
        <x:v>0</x:v>
      </x:c>
      <x:c r="E178" t="n">
        <x:f>COUNTIFS('Resources'!$D$2:$D$1402,$A178,'Resources'!$B$2:$B$1402,E$1)</x:f>
        <x:v>1</x:v>
      </x:c>
    </x:row>
    <x:row r="179">
      <x:c r="A179" t="str">
        <x:v>Robotics / Simulation</x:v>
      </x:c>
      <x:c r="B179" t="n">
        <x:f>COUNTIF('Resources'!$D$2:$D$1402,$A179)</x:f>
        <x:v>1</x:v>
      </x:c>
      <x:c r="C179" t="n">
        <x:f>COUNTIFS('Resources'!$D$2:$D$1402,$A179,'Resources'!$B$2:$B$1402,C$1)</x:f>
        <x:v>0</x:v>
      </x:c>
      <x:c r="D179" t="n">
        <x:f>COUNTIFS('Resources'!$D$2:$D$1402,$A179,'Resources'!$B$2:$B$1402,D$1)</x:f>
        <x:v>1</x:v>
      </x:c>
      <x:c r="E179" t="n">
        <x:f>COUNTIFS('Resources'!$D$2:$D$1402,$A179,'Resources'!$B$2:$B$1402,E$1)</x:f>
        <x:v>0</x:v>
      </x:c>
    </x:row>
    <x:row r="180">
      <x:c r="A180" t="str">
        <x:v>Robotics / Vision-Language-Action</x:v>
      </x:c>
      <x:c r="B180" t="n">
        <x:f>COUNTIF('Resources'!$D$2:$D$1402,$A180)</x:f>
        <x:v>1</x:v>
      </x:c>
      <x:c r="C180" t="n">
        <x:f>COUNTIFS('Resources'!$D$2:$D$1402,$A180,'Resources'!$B$2:$B$1402,C$1)</x:f>
        <x:v>0</x:v>
      </x:c>
      <x:c r="D180" t="n">
        <x:f>COUNTIFS('Resources'!$D$2:$D$1402,$A180,'Resources'!$B$2:$B$1402,D$1)</x:f>
        <x:v>0</x:v>
      </x:c>
      <x:c r="E180" t="n">
        <x:f>COUNTIFS('Resources'!$D$2:$D$1402,$A180,'Resources'!$B$2:$B$1402,E$1)</x:f>
        <x:v>1</x:v>
      </x:c>
    </x:row>
    <x:row r="181">
      <x:c r="A181" t="str">
        <x:v>Transformers / Foundation Models</x:v>
      </x:c>
      <x:c r="B181" t="n">
        <x:f>COUNTIF('Resources'!$D$2:$D$1402,$A181)</x:f>
        <x:v>1</x:v>
      </x:c>
      <x:c r="C181" t="n">
        <x:f>COUNTIFS('Resources'!$D$2:$D$1402,$A181,'Resources'!$B$2:$B$1402,C$1)</x:f>
        <x:v>0</x:v>
      </x:c>
      <x:c r="D181" t="n">
        <x:f>COUNTIFS('Resources'!$D$2:$D$1402,$A181,'Resources'!$B$2:$B$1402,D$1)</x:f>
        <x:v>0</x:v>
      </x:c>
      <x:c r="E181" t="n">
        <x:f>COUNTIFS('Resources'!$D$2:$D$1402,$A181,'Resources'!$B$2:$B$1402,E$1)</x:f>
        <x:v>1</x:v>
      </x:c>
    </x:row>
    <x:row r="182">
      <x:c r="A182" t="str">
        <x:v>Transformers / Large Models</x:v>
      </x:c>
      <x:c r="B182" t="n">
        <x:f>COUNTIF('Resources'!$D$2:$D$1402,$A182)</x:f>
        <x:v>11</x:v>
      </x:c>
      <x:c r="C182" t="n">
        <x:f>COUNTIFS('Resources'!$D$2:$D$1402,$A182,'Resources'!$B$2:$B$1402,C$1)</x:f>
        <x:v>0</x:v>
      </x:c>
      <x:c r="D182" t="n">
        <x:f>COUNTIFS('Resources'!$D$2:$D$1402,$A182,'Resources'!$B$2:$B$1402,D$1)</x:f>
        <x:v>11</x:v>
      </x:c>
      <x:c r="E182" t="n">
        <x:f>COUNTIFS('Resources'!$D$2:$D$1402,$A182,'Resources'!$B$2:$B$1402,E$1)</x:f>
        <x:v>0</x:v>
      </x:c>
    </x:row>
    <x:row r="183">
      <x:c r="A183" t="str">
        <x:v>Trustworthy AI / Safety</x:v>
      </x:c>
      <x:c r="B183" t="n">
        <x:f>COUNTIF('Resources'!$D$2:$D$1402,$A183)</x:f>
        <x:v>3</x:v>
      </x:c>
      <x:c r="C183" t="n">
        <x:f>COUNTIFS('Resources'!$D$2:$D$1402,$A183,'Resources'!$B$2:$B$1402,C$1)</x:f>
        <x:v>0</x:v>
      </x:c>
      <x:c r="D183" t="n">
        <x:f>COUNTIFS('Resources'!$D$2:$D$1402,$A183,'Resources'!$B$2:$B$1402,D$1)</x:f>
        <x:v>0</x:v>
      </x:c>
      <x:c r="E183" t="n">
        <x:f>COUNTIFS('Resources'!$D$2:$D$1402,$A183,'Resources'!$B$2:$B$1402,E$1)</x:f>
        <x:v>3</x:v>
      </x:c>
    </x:row>
    <x:row r="184">
      <x:c r="A184" t="str">
        <x:v>Video Generation / World Models</x:v>
      </x:c>
      <x:c r="B184" t="n">
        <x:f>COUNTIF('Resources'!$D$2:$D$1402,$A184)</x:f>
        <x:v>1</x:v>
      </x:c>
      <x:c r="C184" t="n">
        <x:f>COUNTIFS('Resources'!$D$2:$D$1402,$A184,'Resources'!$B$2:$B$1402,C$1)</x:f>
        <x:v>0</x:v>
      </x:c>
      <x:c r="D184" t="n">
        <x:f>COUNTIFS('Resources'!$D$2:$D$1402,$A184,'Resources'!$B$2:$B$1402,D$1)</x:f>
        <x:v>0</x:v>
      </x:c>
      <x:c r="E184" t="n">
        <x:f>COUNTIFS('Resources'!$D$2:$D$1402,$A184,'Resources'!$B$2:$B$1402,E$1)</x:f>
        <x:v>1</x:v>
      </x:c>
    </x:row>
    <x:row r="185">
      <x:c r="A185" t="str">
        <x:v>Video Understanding / Multimodal Models</x:v>
      </x:c>
      <x:c r="B185" t="n">
        <x:f>COUNTIF('Resources'!$D$2:$D$1402,$A185)</x:f>
        <x:v>1</x:v>
      </x:c>
      <x:c r="C185" t="n">
        <x:f>COUNTIFS('Resources'!$D$2:$D$1402,$A185,'Resources'!$B$2:$B$1402,C$1)</x:f>
        <x:v>0</x:v>
      </x:c>
      <x:c r="D185" t="n">
        <x:f>COUNTIFS('Resources'!$D$2:$D$1402,$A185,'Resources'!$B$2:$B$1402,D$1)</x:f>
        <x:v>0</x:v>
      </x:c>
      <x:c r="E185" t="n">
        <x:f>COUNTIFS('Resources'!$D$2:$D$1402,$A185,'Resources'!$B$2:$B$1402,E$1)</x:f>
        <x:v>1</x:v>
      </x:c>
    </x:row>
    <x:row r="186">
      <x:c r="A186" t="str">
        <x:v>Vision / AI-Assisted Design</x:v>
      </x:c>
      <x:c r="B186" t="n">
        <x:f>COUNTIF('Resources'!$D$2:$D$1402,$A186)</x:f>
        <x:v>1</x:v>
      </x:c>
      <x:c r="C186" t="n">
        <x:f>COUNTIFS('Resources'!$D$2:$D$1402,$A186,'Resources'!$B$2:$B$1402,C$1)</x:f>
        <x:v>0</x:v>
      </x:c>
      <x:c r="D186" t="n">
        <x:f>COUNTIFS('Resources'!$D$2:$D$1402,$A186,'Resources'!$B$2:$B$1402,D$1)</x:f>
        <x:v>1</x:v>
      </x:c>
      <x:c r="E186" t="n">
        <x:f>COUNTIFS('Resources'!$D$2:$D$1402,$A186,'Resources'!$B$2:$B$1402,E$1)</x:f>
        <x:v>0</x:v>
      </x:c>
    </x:row>
    <x:row r="187">
      <x:c r="A187" t="str">
        <x:v>Vision / Autonomous Drones</x:v>
      </x:c>
      <x:c r="B187" t="n">
        <x:f>COUNTIF('Resources'!$D$2:$D$1402,$A187)</x:f>
        <x:v>1</x:v>
      </x:c>
      <x:c r="C187" t="n">
        <x:f>COUNTIFS('Resources'!$D$2:$D$1402,$A187,'Resources'!$B$2:$B$1402,C$1)</x:f>
        <x:v>0</x:v>
      </x:c>
      <x:c r="D187" t="n">
        <x:f>COUNTIFS('Resources'!$D$2:$D$1402,$A187,'Resources'!$B$2:$B$1402,D$1)</x:f>
        <x:v>0</x:v>
      </x:c>
      <x:c r="E187" t="n">
        <x:f>COUNTIFS('Resources'!$D$2:$D$1402,$A187,'Resources'!$B$2:$B$1402,E$1)</x:f>
        <x:v>1</x:v>
      </x:c>
    </x:row>
    <x:row r="188">
      <x:c r="A188" t="str">
        <x:v>Vision / Design Agents</x:v>
      </x:c>
      <x:c r="B188" t="n">
        <x:f>COUNTIF('Resources'!$D$2:$D$1402,$A188)</x:f>
        <x:v>1</x:v>
      </x:c>
      <x:c r="C188" t="n">
        <x:f>COUNTIFS('Resources'!$D$2:$D$1402,$A188,'Resources'!$B$2:$B$1402,C$1)</x:f>
        <x:v>0</x:v>
      </x:c>
      <x:c r="D188" t="n">
        <x:f>COUNTIFS('Resources'!$D$2:$D$1402,$A188,'Resources'!$B$2:$B$1402,D$1)</x:f>
        <x:v>0</x:v>
      </x:c>
      <x:c r="E188" t="n">
        <x:f>COUNTIFS('Resources'!$D$2:$D$1402,$A188,'Resources'!$B$2:$B$1402,E$1)</x:f>
        <x:v>1</x:v>
      </x:c>
    </x:row>
    <x:row r="189">
      <x:c r="A189" t="str">
        <x:v>Vision / Flow Matching</x:v>
      </x:c>
      <x:c r="B189" t="n">
        <x:f>COUNTIF('Resources'!$D$2:$D$1402,$A189)</x:f>
        <x:v>1</x:v>
      </x:c>
      <x:c r="C189" t="n">
        <x:f>COUNTIFS('Resources'!$D$2:$D$1402,$A189,'Resources'!$B$2:$B$1402,C$1)</x:f>
        <x:v>0</x:v>
      </x:c>
      <x:c r="D189" t="n">
        <x:f>COUNTIFS('Resources'!$D$2:$D$1402,$A189,'Resources'!$B$2:$B$1402,D$1)</x:f>
        <x:v>1</x:v>
      </x:c>
      <x:c r="E189" t="n">
        <x:f>COUNTIFS('Resources'!$D$2:$D$1402,$A189,'Resources'!$B$2:$B$1402,E$1)</x:f>
        <x:v>0</x:v>
      </x:c>
    </x:row>
    <x:row r="190">
      <x:c r="A190" t="str">
        <x:v>Vision / Generative Design</x:v>
      </x:c>
      <x:c r="B190" t="n">
        <x:f>COUNTIF('Resources'!$D$2:$D$1402,$A190)</x:f>
        <x:v>1</x:v>
      </x:c>
      <x:c r="C190" t="n">
        <x:f>COUNTIFS('Resources'!$D$2:$D$1402,$A190,'Resources'!$B$2:$B$1402,C$1)</x:f>
        <x:v>0</x:v>
      </x:c>
      <x:c r="D190" t="n">
        <x:f>COUNTIFS('Resources'!$D$2:$D$1402,$A190,'Resources'!$B$2:$B$1402,D$1)</x:f>
        <x:v>1</x:v>
      </x:c>
      <x:c r="E190" t="n">
        <x:f>COUNTIFS('Resources'!$D$2:$D$1402,$A190,'Resources'!$B$2:$B$1402,E$1)</x:f>
        <x:v>0</x:v>
      </x:c>
    </x:row>
    <x:row r="191">
      <x:c r="A191" t="str">
        <x:v>Vision / Image Generation</x:v>
      </x:c>
      <x:c r="B191" t="n">
        <x:f>COUNTIF('Resources'!$D$2:$D$1402,$A191)</x:f>
        <x:v>2</x:v>
      </x:c>
      <x:c r="C191" t="n">
        <x:f>COUNTIFS('Resources'!$D$2:$D$1402,$A191,'Resources'!$B$2:$B$1402,C$1)</x:f>
        <x:v>0</x:v>
      </x:c>
      <x:c r="D191" t="n">
        <x:f>COUNTIFS('Resources'!$D$2:$D$1402,$A191,'Resources'!$B$2:$B$1402,D$1)</x:f>
        <x:v>0</x:v>
      </x:c>
      <x:c r="E191" t="n">
        <x:f>COUNTIFS('Resources'!$D$2:$D$1402,$A191,'Resources'!$B$2:$B$1402,E$1)</x:f>
        <x:v>2</x:v>
      </x:c>
    </x:row>
    <x:row r="192">
      <x:c r="A192" t="str">
        <x:v>Vision / Interface Generation</x:v>
      </x:c>
      <x:c r="B192" t="n">
        <x:f>COUNTIF('Resources'!$D$2:$D$1402,$A192)</x:f>
        <x:v>1</x:v>
      </x:c>
      <x:c r="C192" t="n">
        <x:f>COUNTIFS('Resources'!$D$2:$D$1402,$A192,'Resources'!$B$2:$B$1402,C$1)</x:f>
        <x:v>0</x:v>
      </x:c>
      <x:c r="D192" t="n">
        <x:f>COUNTIFS('Resources'!$D$2:$D$1402,$A192,'Resources'!$B$2:$B$1402,D$1)</x:f>
        <x:v>0</x:v>
      </x:c>
      <x:c r="E192" t="n">
        <x:f>COUNTIFS('Resources'!$D$2:$D$1402,$A192,'Resources'!$B$2:$B$1402,E$1)</x:f>
        <x:v>1</x:v>
      </x:c>
    </x:row>
    <x:row r="193">
      <x:c r="A193" t="str">
        <x:v>Vision / Paper Walkthroughs</x:v>
      </x:c>
      <x:c r="B193" t="n">
        <x:f>COUNTIF('Resources'!$D$2:$D$1402,$A193)</x:f>
        <x:v>11</x:v>
      </x:c>
      <x:c r="C193" t="n">
        <x:f>COUNTIFS('Resources'!$D$2:$D$1402,$A193,'Resources'!$B$2:$B$1402,C$1)</x:f>
        <x:v>0</x:v>
      </x:c>
      <x:c r="D193" t="n">
        <x:f>COUNTIFS('Resources'!$D$2:$D$1402,$A193,'Resources'!$B$2:$B$1402,D$1)</x:f>
        <x:v>11</x:v>
      </x:c>
      <x:c r="E193" t="n">
        <x:f>COUNTIFS('Resources'!$D$2:$D$1402,$A193,'Resources'!$B$2:$B$1402,E$1)</x:f>
        <x:v>0</x:v>
      </x:c>
    </x:row>
    <x:row r="194">
      <x:c r="A194" t="str">
        <x:v>Vision / Reconstruction Workflows</x:v>
      </x:c>
      <x:c r="B194" t="n">
        <x:f>COUNTIF('Resources'!$D$2:$D$1402,$A194)</x:f>
        <x:v>1</x:v>
      </x:c>
      <x:c r="C194" t="n">
        <x:f>COUNTIFS('Resources'!$D$2:$D$1402,$A194,'Resources'!$B$2:$B$1402,C$1)</x:f>
        <x:v>0</x:v>
      </x:c>
      <x:c r="D194" t="n">
        <x:f>COUNTIFS('Resources'!$D$2:$D$1402,$A194,'Resources'!$B$2:$B$1402,D$1)</x:f>
        <x:v>1</x:v>
      </x:c>
      <x:c r="E194" t="n">
        <x:f>COUNTIFS('Resources'!$D$2:$D$1402,$A194,'Resources'!$B$2:$B$1402,E$1)</x:f>
        <x:v>0</x:v>
      </x:c>
    </x:row>
    <x:row r="195">
      <x:c r="A195" t="str">
        <x:v>Vision / Scene Flow</x:v>
      </x:c>
      <x:c r="B195" t="n">
        <x:f>COUNTIF('Resources'!$D$2:$D$1402,$A195)</x:f>
        <x:v>1</x:v>
      </x:c>
      <x:c r="C195" t="n">
        <x:f>COUNTIFS('Resources'!$D$2:$D$1402,$A195,'Resources'!$B$2:$B$1402,C$1)</x:f>
        <x:v>0</x:v>
      </x:c>
      <x:c r="D195" t="n">
        <x:f>COUNTIFS('Resources'!$D$2:$D$1402,$A195,'Resources'!$B$2:$B$1402,D$1)</x:f>
        <x:v>0</x:v>
      </x:c>
      <x:c r="E195" t="n">
        <x:f>COUNTIFS('Resources'!$D$2:$D$1402,$A195,'Resources'!$B$2:$B$1402,E$1)</x:f>
        <x:v>1</x:v>
      </x:c>
    </x:row>
    <x:row r="196">
      <x:c r="A196" t="str">
        <x:v>World Model / Paper Walkthroughs</x:v>
      </x:c>
      <x:c r="B196" t="n">
        <x:f>COUNTIF('Resources'!$D$2:$D$1402,$A196)</x:f>
        <x:v>2</x:v>
      </x:c>
      <x:c r="C196" t="n">
        <x:f>COUNTIFS('Resources'!$D$2:$D$1402,$A196,'Resources'!$B$2:$B$1402,C$1)</x:f>
        <x:v>0</x:v>
      </x:c>
      <x:c r="D196" t="n">
        <x:f>COUNTIFS('Resources'!$D$2:$D$1402,$A196,'Resources'!$B$2:$B$1402,D$1)</x:f>
        <x:v>2</x:v>
      </x:c>
      <x:c r="E196" t="n">
        <x:f>COUNTIFS('Resources'!$D$2:$D$1402,$A196,'Resources'!$B$2:$B$1402,E$1)</x:f>
        <x:v>0</x:v>
      </x:c>
    </x:row>
    <x:row r="197">
      <x:c r="A197" t="str">
        <x:v>World Models / AGI</x:v>
      </x:c>
      <x:c r="B197" t="n">
        <x:f>COUNTIF('Resources'!$D$2:$D$1402,$A197)</x:f>
        <x:v>1</x:v>
      </x:c>
      <x:c r="C197" t="n">
        <x:f>COUNTIFS('Resources'!$D$2:$D$1402,$A197,'Resources'!$B$2:$B$1402,C$1)</x:f>
        <x:v>0</x:v>
      </x:c>
      <x:c r="D197" t="n">
        <x:f>COUNTIFS('Resources'!$D$2:$D$1402,$A197,'Resources'!$B$2:$B$1402,D$1)</x:f>
        <x:v>0</x:v>
      </x:c>
      <x:c r="E197" t="n">
        <x:f>COUNTIFS('Resources'!$D$2:$D$1402,$A197,'Resources'!$B$2:$B$1402,E$1)</x:f>
        <x:v>1</x:v>
      </x:c>
    </x:row>
    <x:row r="198">
      <x:c r="A198" t="str">
        <x:v>World Models / Embodied Simulation</x:v>
      </x:c>
      <x:c r="B198" t="n">
        <x:f>COUNTIF('Resources'!$D$2:$D$1402,$A198)</x:f>
        <x:v>1</x:v>
      </x:c>
      <x:c r="C198" t="n">
        <x:f>COUNTIFS('Resources'!$D$2:$D$1402,$A198,'Resources'!$B$2:$B$1402,C$1)</x:f>
        <x:v>0</x:v>
      </x:c>
      <x:c r="D198" t="n">
        <x:f>COUNTIFS('Resources'!$D$2:$D$1402,$A198,'Resources'!$B$2:$B$1402,D$1)</x:f>
        <x:v>0</x:v>
      </x:c>
      <x:c r="E198" t="n">
        <x:f>COUNTIFS('Resources'!$D$2:$D$1402,$A198,'Resources'!$B$2:$B$1402,E$1)</x:f>
        <x:v>1</x:v>
      </x:c>
    </x:row>
    <x:row r="199">
      <x:c r="A199" t="str">
        <x:v>World Models / Generative Simulation</x:v>
      </x:c>
      <x:c r="B199" t="n">
        <x:f>COUNTIF('Resources'!$D$2:$D$1402,$A199)</x:f>
        <x:v>1</x:v>
      </x:c>
      <x:c r="C199" t="n">
        <x:f>COUNTIFS('Resources'!$D$2:$D$1402,$A199,'Resources'!$B$2:$B$1402,C$1)</x:f>
        <x:v>0</x:v>
      </x:c>
      <x:c r="D199" t="n">
        <x:f>COUNTIFS('Resources'!$D$2:$D$1402,$A199,'Resources'!$B$2:$B$1402,D$1)</x:f>
        <x:v>0</x:v>
      </x:c>
      <x:c r="E199" t="n">
        <x:f>COUNTIFS('Resources'!$D$2:$D$1402,$A199,'Resources'!$B$2:$B$1402,E$1)</x:f>
        <x:v>1</x:v>
      </x:c>
    </x:row>
    <x:row r="200">
      <x:c r="A200" t="str">
        <x:v>World Models / Generative Video</x:v>
      </x:c>
      <x:c r="B200" t="n">
        <x:f>COUNTIF('Resources'!$D$2:$D$1402,$A200)</x:f>
        <x:v>1</x:v>
      </x:c>
      <x:c r="C200" t="n">
        <x:f>COUNTIFS('Resources'!$D$2:$D$1402,$A200,'Resources'!$B$2:$B$1402,C$1)</x:f>
        <x:v>0</x:v>
      </x:c>
      <x:c r="D200" t="n">
        <x:f>COUNTIFS('Resources'!$D$2:$D$1402,$A200,'Resources'!$B$2:$B$1402,D$1)</x:f>
        <x:v>0</x:v>
      </x:c>
      <x:c r="E200" t="n">
        <x:f>COUNTIFS('Resources'!$D$2:$D$1402,$A200,'Resources'!$B$2:$B$1402,E$1)</x:f>
        <x:v>1</x:v>
      </x:c>
    </x:row>
    <x:row r="201">
      <x:c r="A201" t="str">
        <x:v>World Models / Interactive Simulation</x:v>
      </x:c>
      <x:c r="B201" t="n">
        <x:f>COUNTIF('Resources'!$D$2:$D$1402,$A201)</x:f>
        <x:v>1</x:v>
      </x:c>
      <x:c r="C201" t="n">
        <x:f>COUNTIFS('Resources'!$D$2:$D$1402,$A201,'Resources'!$B$2:$B$1402,C$1)</x:f>
        <x:v>0</x:v>
      </x:c>
      <x:c r="D201" t="n">
        <x:f>COUNTIFS('Resources'!$D$2:$D$1402,$A201,'Resources'!$B$2:$B$1402,D$1)</x:f>
        <x:v>0</x:v>
      </x:c>
      <x:c r="E201" t="n">
        <x:f>COUNTIFS('Resources'!$D$2:$D$1402,$A201,'Resources'!$B$2:$B$1402,E$1)</x:f>
        <x:v>1</x:v>
      </x:c>
    </x:row>
    <x:row r="202">
      <x:c r="A202" t="str">
        <x:v>World Models / Language Models</x:v>
      </x:c>
      <x:c r="B202" t="n">
        <x:f>COUNTIF('Resources'!$D$2:$D$1402,$A202)</x:f>
        <x:v>1</x:v>
      </x:c>
      <x:c r="C202" t="n">
        <x:f>COUNTIFS('Resources'!$D$2:$D$1402,$A202,'Resources'!$B$2:$B$1402,C$1)</x:f>
        <x:v>0</x:v>
      </x:c>
      <x:c r="D202" t="n">
        <x:f>COUNTIFS('Resources'!$D$2:$D$1402,$A202,'Resources'!$B$2:$B$1402,D$1)</x:f>
        <x:v>0</x:v>
      </x:c>
      <x:c r="E202" t="n">
        <x:f>COUNTIFS('Resources'!$D$2:$D$1402,$A202,'Resources'!$B$2:$B$1402,E$1)</x:f>
        <x:v>1</x:v>
      </x:c>
    </x:row>
    <x:row r="203">
      <x:c r="A203" t="str">
        <x:v>World Models / Learned Simulators</x:v>
      </x:c>
      <x:c r="B203" t="n">
        <x:f>COUNTIF('Resources'!$D$2:$D$1402,$A203)</x:f>
        <x:v>1</x:v>
      </x:c>
      <x:c r="C203" t="n">
        <x:f>COUNTIFS('Resources'!$D$2:$D$1402,$A203,'Resources'!$B$2:$B$1402,C$1)</x:f>
        <x:v>0</x:v>
      </x:c>
      <x:c r="D203" t="n">
        <x:f>COUNTIFS('Resources'!$D$2:$D$1402,$A203,'Resources'!$B$2:$B$1402,D$1)</x:f>
        <x:v>0</x:v>
      </x:c>
      <x:c r="E203" t="n">
        <x:f>COUNTIFS('Resources'!$D$2:$D$1402,$A203,'Resources'!$B$2:$B$1402,E$1)</x:f>
        <x:v>1</x:v>
      </x:c>
    </x:row>
    <x:row r="204">
      <x:c r="A204" t="str">
        <x:v>World Models / Multimodal Understanding</x:v>
      </x:c>
      <x:c r="B204" t="n">
        <x:f>COUNTIF('Resources'!$D$2:$D$1402,$A204)</x:f>
        <x:v>1</x:v>
      </x:c>
      <x:c r="C204" t="n">
        <x:f>COUNTIFS('Resources'!$D$2:$D$1402,$A204,'Resources'!$B$2:$B$1402,C$1)</x:f>
        <x:v>0</x:v>
      </x:c>
      <x:c r="D204" t="n">
        <x:f>COUNTIFS('Resources'!$D$2:$D$1402,$A204,'Resources'!$B$2:$B$1402,D$1)</x:f>
        <x:v>0</x:v>
      </x:c>
      <x:c r="E204" t="n">
        <x:f>COUNTIFS('Resources'!$D$2:$D$1402,$A204,'Resources'!$B$2:$B$1402,E$1)</x:f>
        <x:v>1</x:v>
      </x:c>
    </x:row>
    <x:row r="205">
      <x:c r="A205" t="str">
        <x:v>World Models / Physical AI</x:v>
      </x:c>
      <x:c r="B205" t="n">
        <x:f>COUNTIF('Resources'!$D$2:$D$1402,$A205)</x:f>
        <x:v>1</x:v>
      </x:c>
      <x:c r="C205" t="n">
        <x:f>COUNTIFS('Resources'!$D$2:$D$1402,$A205,'Resources'!$B$2:$B$1402,C$1)</x:f>
        <x:v>1</x:v>
      </x:c>
      <x:c r="D205" t="n">
        <x:f>COUNTIFS('Resources'!$D$2:$D$1402,$A205,'Resources'!$B$2:$B$1402,D$1)</x:f>
        <x:v>0</x:v>
      </x:c>
      <x:c r="E205" t="n">
        <x:f>COUNTIFS('Resources'!$D$2:$D$1402,$A205,'Resources'!$B$2:$B$1402,E$1)</x:f>
        <x:v>0</x:v>
      </x:c>
    </x:row>
    <x:row r="206">
      <x:c r="A206" t="str">
        <x:v>World Models / Predictive Intelligence</x:v>
      </x:c>
      <x:c r="B206" t="n">
        <x:f>COUNTIF('Resources'!$D$2:$D$1402,$A206)</x:f>
        <x:v>86</x:v>
      </x:c>
      <x:c r="C206" t="n">
        <x:f>COUNTIFS('Resources'!$D$2:$D$1402,$A206,'Resources'!$B$2:$B$1402,C$1)</x:f>
        <x:v>25</x:v>
      </x:c>
      <x:c r="D206" t="n">
        <x:f>COUNTIFS('Resources'!$D$2:$D$1402,$A206,'Resources'!$B$2:$B$1402,D$1)</x:f>
        <x:v>17</x:v>
      </x:c>
      <x:c r="E206" t="n">
        <x:f>COUNTIFS('Resources'!$D$2:$D$1402,$A206,'Resources'!$B$2:$B$1402,E$1)</x:f>
        <x:v>44</x:v>
      </x:c>
    </x:row>
    <x:row r="207">
      <x:c r="A207" t="str">
        <x:v>World Models / Reinforcement Learning</x:v>
      </x:c>
      <x:c r="B207" t="n">
        <x:f>COUNTIF('Resources'!$D$2:$D$1402,$A207)</x:f>
        <x:v>2</x:v>
      </x:c>
      <x:c r="C207" t="n">
        <x:f>COUNTIFS('Resources'!$D$2:$D$1402,$A207,'Resources'!$B$2:$B$1402,C$1)</x:f>
        <x:v>0</x:v>
      </x:c>
      <x:c r="D207" t="n">
        <x:f>COUNTIFS('Resources'!$D$2:$D$1402,$A207,'Resources'!$B$2:$B$1402,D$1)</x:f>
        <x:v>1</x:v>
      </x:c>
      <x:c r="E207" t="n">
        <x:f>COUNTIFS('Resources'!$D$2:$D$1402,$A207,'Resources'!$B$2:$B$1402,E$1)</x:f>
        <x:v>1</x:v>
      </x:c>
    </x:row>
    <x:row r="208">
      <x:c r="A208" t="str">
        <x:v>World Models / Representation Learning</x:v>
      </x:c>
      <x:c r="B208" t="n">
        <x:f>COUNTIF('Resources'!$D$2:$D$1402,$A208)</x:f>
        <x:v>2</x:v>
      </x:c>
      <x:c r="C208" t="n">
        <x:f>COUNTIFS('Resources'!$D$2:$D$1402,$A208,'Resources'!$B$2:$B$1402,C$1)</x:f>
        <x:v>2</x:v>
      </x:c>
      <x:c r="D208" t="n">
        <x:f>COUNTIFS('Resources'!$D$2:$D$1402,$A208,'Resources'!$B$2:$B$1402,D$1)</x:f>
        <x:v>0</x:v>
      </x:c>
      <x:c r="E208" t="n">
        <x:f>COUNTIFS('Resources'!$D$2:$D$1402,$A208,'Resources'!$B$2:$B$1402,E$1)</x:f>
        <x:v>0</x:v>
      </x:c>
    </x:row>
    <x:row r="209">
      <x:c r="A209" t="str">
        <x:v>World Models / Robot Action Models</x:v>
      </x:c>
      <x:c r="B209" t="n">
        <x:f>COUNTIF('Resources'!$D$2:$D$1402,$A209)</x:f>
        <x:v>1</x:v>
      </x:c>
      <x:c r="C209" t="n">
        <x:f>COUNTIFS('Resources'!$D$2:$D$1402,$A209,'Resources'!$B$2:$B$1402,C$1)</x:f>
        <x:v>0</x:v>
      </x:c>
      <x:c r="D209" t="n">
        <x:f>COUNTIFS('Resources'!$D$2:$D$1402,$A209,'Resources'!$B$2:$B$1402,D$1)</x:f>
        <x:v>0</x:v>
      </x:c>
      <x:c r="E209" t="n">
        <x:f>COUNTIFS('Resources'!$D$2:$D$1402,$A209,'Resources'!$B$2:$B$1402,E$1)</x:f>
        <x:v>1</x:v>
      </x:c>
    </x:row>
    <x:row r="210">
      <x:c r="A210" t="str">
        <x:v>World Models / Robot Manipulation</x:v>
      </x:c>
      <x:c r="B210" t="n">
        <x:f>COUNTIF('Resources'!$D$2:$D$1402,$A210)</x:f>
        <x:v>1</x:v>
      </x:c>
      <x:c r="C210" t="n">
        <x:f>COUNTIFS('Resources'!$D$2:$D$1402,$A210,'Resources'!$B$2:$B$1402,C$1)</x:f>
        <x:v>0</x:v>
      </x:c>
      <x:c r="D210" t="n">
        <x:f>COUNTIFS('Resources'!$D$2:$D$1402,$A210,'Resources'!$B$2:$B$1402,D$1)</x:f>
        <x:v>0</x:v>
      </x:c>
      <x:c r="E210" t="n">
        <x:f>COUNTIFS('Resources'!$D$2:$D$1402,$A210,'Resources'!$B$2:$B$1402,E$1)</x:f>
        <x:v>1</x:v>
      </x:c>
    </x:row>
    <x:row r="211">
      <x:c r="A211" t="str">
        <x:v>World Models / Simulation Tooling</x:v>
      </x:c>
      <x:c r="B211" t="n">
        <x:f>COUNTIF('Resources'!$D$2:$D$1402,$A211)</x:f>
        <x:v>1</x:v>
      </x:c>
      <x:c r="C211" t="n">
        <x:f>COUNTIFS('Resources'!$D$2:$D$1402,$A211,'Resources'!$B$2:$B$1402,C$1)</x:f>
        <x:v>0</x:v>
      </x:c>
      <x:c r="D211" t="n">
        <x:f>COUNTIFS('Resources'!$D$2:$D$1402,$A211,'Resources'!$B$2:$B$1402,D$1)</x:f>
        <x:v>1</x:v>
      </x:c>
      <x:c r="E211" t="n">
        <x:f>COUNTIFS('Resources'!$D$2:$D$1402,$A211,'Resources'!$B$2:$B$1402,E$1)</x:f>
        <x:v>0</x:v>
      </x:c>
    </x:row>
    <x:row r="212">
      <x:c r="A212" t="str">
        <x:v>World Models / Spatial AI</x:v>
      </x:c>
      <x:c r="B212" t="n">
        <x:f>COUNTIF('Resources'!$D$2:$D$1402,$A212)</x:f>
        <x:v>2</x:v>
      </x:c>
      <x:c r="C212" t="n">
        <x:f>COUNTIFS('Resources'!$D$2:$D$1402,$A212,'Resources'!$B$2:$B$1402,C$1)</x:f>
        <x:v>1</x:v>
      </x:c>
      <x:c r="D212" t="n">
        <x:f>COUNTIFS('Resources'!$D$2:$D$1402,$A212,'Resources'!$B$2:$B$1402,D$1)</x:f>
        <x:v>0</x:v>
      </x:c>
      <x:c r="E212" t="n">
        <x:f>COUNTIFS('Resources'!$D$2:$D$1402,$A212,'Resources'!$B$2:$B$1402,E$1)</x:f>
        <x:v>1</x:v>
      </x:c>
    </x:row>
    <x:row r="213">
      <x:c r="A213" t="str">
        <x:v>World Models / Weather Dynamics</x:v>
      </x:c>
      <x:c r="B213" t="n">
        <x:f>COUNTIF('Resources'!$D$2:$D$1402,$A213)</x:f>
        <x:v>1</x:v>
      </x:c>
      <x:c r="C213" t="n">
        <x:f>COUNTIFS('Resources'!$D$2:$D$1402,$A213,'Resources'!$B$2:$B$1402,C$1)</x:f>
        <x:v>0</x:v>
      </x:c>
      <x:c r="D213" t="n">
        <x:f>COUNTIFS('Resources'!$D$2:$D$1402,$A213,'Resources'!$B$2:$B$1402,D$1)</x:f>
        <x:v>1</x:v>
      </x:c>
      <x:c r="E213" t="n">
        <x:f>COUNTIFS('Resources'!$D$2:$D$1402,$A213,'Resources'!$B$2:$B$1402,E$1)</x:f>
        <x:v>0</x:v>
      </x:c>
    </x:row>
  </x:sheetData>
  <x:pageMargins left="0.7" right="0.7" top="0.75" bottom="0.75" header="0.3" footer="0.3"/>
  <x:tableParts count="1">
    <x:tablePart xmlns:r="http://schemas.openxmlformats.org/officeDocument/2006/relationships" r:id="Rd7517a41ca724f9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Latest additions: 2026-09-26. Dates are platform upload dates, not event or paper dates. Metadata and playback checks are separate; Bilibili additions with blocked watch pages remain Pending Verification. See each resource for its verification scope.</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